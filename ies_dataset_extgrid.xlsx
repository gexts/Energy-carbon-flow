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工位宿舍共享文件夹\IES_critical_modelling\dataset\"/>
    </mc:Choice>
  </mc:AlternateContent>
  <xr:revisionPtr revIDLastSave="0" documentId="13_ncr:1_{E2D5CA8B-E85F-4A49-8209-8FEB4C56E2F2}" xr6:coauthVersionLast="47" xr6:coauthVersionMax="47" xr10:uidLastSave="{00000000-0000-0000-0000-000000000000}"/>
  <bookViews>
    <workbookView xWindow="-23148" yWindow="4284" windowWidth="23256" windowHeight="12456" tabRatio="914" firstSheet="20" activeTab="27" xr2:uid="{00000000-000D-0000-FFFF-FFFF00000000}"/>
  </bookViews>
  <sheets>
    <sheet name="power_meta" sheetId="1" r:id="rId1"/>
    <sheet name="power_bus" sheetId="2" r:id="rId2"/>
    <sheet name="power_gen" sheetId="3" r:id="rId3"/>
    <sheet name="power_branch" sheetId="4" r:id="rId4"/>
    <sheet name="storage_system" sheetId="5" r:id="rId5"/>
    <sheet name="power_gci" sheetId="6" r:id="rId6"/>
    <sheet name="gas_nodes" sheetId="7" r:id="rId7"/>
    <sheet name="gas_pipelines" sheetId="8" r:id="rId8"/>
    <sheet name="gas_compressors" sheetId="9" r:id="rId9"/>
    <sheet name="gas_sources" sheetId="10" r:id="rId10"/>
    <sheet name="gas_loads" sheetId="11" r:id="rId11"/>
    <sheet name="heat_nodes" sheetId="12" r:id="rId12"/>
    <sheet name="heat_pipelines" sheetId="13" r:id="rId13"/>
    <sheet name="heat_valves" sheetId="14" r:id="rId14"/>
    <sheet name="heat_pumps" sheetId="15" r:id="rId15"/>
    <sheet name="heat_sources" sheetId="16" r:id="rId16"/>
    <sheet name="heat_loads" sheetId="17" r:id="rId17"/>
    <sheet name="eh_meta" sheetId="18" r:id="rId18"/>
    <sheet name="eh_inputs" sheetId="19" r:id="rId19"/>
    <sheet name="eh_outputs" sheetId="20" r:id="rId20"/>
    <sheet name="_schema" sheetId="21" r:id="rId21"/>
    <sheet name="power_PD" sheetId="22" r:id="rId22"/>
    <sheet name="power_QD" sheetId="23" r:id="rId23"/>
    <sheet name="gen_PG" sheetId="24" r:id="rId24"/>
    <sheet name="gen_PMAX" sheetId="25" r:id="rId25"/>
    <sheet name="eh_flow_electricity" sheetId="26" r:id="rId26"/>
    <sheet name="eh_flow_gas" sheetId="27" r:id="rId27"/>
    <sheet name="gas_load_demand" sheetId="38" r:id="rId28"/>
    <sheet name="eh_PCI_gas" sheetId="28" r:id="rId29"/>
    <sheet name="heat_Q_demand" sheetId="29" r:id="rId30"/>
    <sheet name="ambient_T" sheetId="30" r:id="rId31"/>
    <sheet name="storage_dispatch_ch" sheetId="31" r:id="rId32"/>
    <sheet name="storage_dispatch_dc" sheetId="32" r:id="rId33"/>
    <sheet name="elec_price_buy" sheetId="33" r:id="rId34"/>
    <sheet name="elec_price_sell" sheetId="34" r:id="rId35"/>
    <sheet name="external_CI" sheetId="35" r:id="rId36"/>
    <sheet name="grid_trade_buy" sheetId="36" r:id="rId37"/>
    <sheet name="grid_trade_sell" sheetId="37" r:id="rId38"/>
    <sheet name="gas_source_output_fixed" sheetId="39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8" l="1"/>
  <c r="D4" i="38"/>
  <c r="E4" i="38"/>
  <c r="F4" i="38"/>
  <c r="G4" i="38"/>
  <c r="H4" i="38"/>
  <c r="I4" i="38"/>
  <c r="J4" i="38"/>
  <c r="K4" i="38"/>
  <c r="L4" i="38"/>
  <c r="M4" i="38"/>
  <c r="N4" i="38"/>
  <c r="O4" i="38"/>
  <c r="P4" i="38"/>
  <c r="Q4" i="38"/>
  <c r="R4" i="38"/>
  <c r="S4" i="38"/>
  <c r="T4" i="38"/>
  <c r="U4" i="38"/>
  <c r="V4" i="38"/>
  <c r="W4" i="38"/>
  <c r="X4" i="38"/>
  <c r="Y4" i="38"/>
  <c r="Z4" i="38"/>
  <c r="C2" i="26"/>
  <c r="D2" i="26"/>
  <c r="E2" i="26"/>
  <c r="F2" i="26"/>
  <c r="G2" i="26"/>
  <c r="H2" i="26"/>
  <c r="I2" i="26"/>
  <c r="J2" i="26"/>
  <c r="K2" i="26"/>
  <c r="L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B2" i="26"/>
  <c r="C5" i="11"/>
  <c r="C4" i="11"/>
  <c r="C3" i="11"/>
  <c r="C2" i="11"/>
  <c r="C3" i="10"/>
  <c r="C2" i="10"/>
</calcChain>
</file>

<file path=xl/sharedStrings.xml><?xml version="1.0" encoding="utf-8"?>
<sst xmlns="http://schemas.openxmlformats.org/spreadsheetml/2006/main" count="1006" uniqueCount="184">
  <si>
    <t>baseMVA</t>
  </si>
  <si>
    <t>BUS_I</t>
  </si>
  <si>
    <t>BUS_TYPE</t>
  </si>
  <si>
    <t>PD</t>
  </si>
  <si>
    <t>QD</t>
  </si>
  <si>
    <t>GS</t>
  </si>
  <si>
    <t>BS</t>
  </si>
  <si>
    <t>BUS_AREA</t>
  </si>
  <si>
    <t>VM</t>
  </si>
  <si>
    <t>VA</t>
  </si>
  <si>
    <t>BASE_KV</t>
  </si>
  <si>
    <t>ZONE</t>
  </si>
  <si>
    <t>VMAX</t>
  </si>
  <si>
    <t>VMIN</t>
  </si>
  <si>
    <t>F_BUS</t>
  </si>
  <si>
    <t>T_BUS</t>
  </si>
  <si>
    <t>BR_R</t>
  </si>
  <si>
    <t>BR_X</t>
  </si>
  <si>
    <t>BR_B</t>
  </si>
  <si>
    <t>RATE_A</t>
  </si>
  <si>
    <t>RATE_B</t>
  </si>
  <si>
    <t>RATE_C</t>
  </si>
  <si>
    <t>TAP</t>
  </si>
  <si>
    <t>SHIFT</t>
  </si>
  <si>
    <t>BR_STATUS</t>
  </si>
  <si>
    <t>ANGMIN</t>
  </si>
  <si>
    <t>ANGMAX</t>
  </si>
  <si>
    <t>id</t>
  </si>
  <si>
    <t>bus</t>
  </si>
  <si>
    <t>Pch_max</t>
  </si>
  <si>
    <t>Pdc_max</t>
  </si>
  <si>
    <t>eta_ch</t>
  </si>
  <si>
    <t>eta_dc</t>
  </si>
  <si>
    <t>kappa</t>
  </si>
  <si>
    <t>e_min</t>
  </si>
  <si>
    <t>e_max</t>
  </si>
  <si>
    <t>e0</t>
  </si>
  <si>
    <t>w_es0</t>
  </si>
  <si>
    <t>model</t>
  </si>
  <si>
    <t>ES1</t>
  </si>
  <si>
    <t>water_tank</t>
  </si>
  <si>
    <t>GCI</t>
  </si>
  <si>
    <t>pressure</t>
  </si>
  <si>
    <t>max_pressure</t>
  </si>
  <si>
    <t>min_pressure</t>
  </si>
  <si>
    <t>injection</t>
  </si>
  <si>
    <t>CEFR</t>
  </si>
  <si>
    <t>from</t>
  </si>
  <si>
    <t>to</t>
  </si>
  <si>
    <t>flowrate</t>
  </si>
  <si>
    <t>Kp</t>
  </si>
  <si>
    <t>Capacity</t>
  </si>
  <si>
    <t>location</t>
  </si>
  <si>
    <t>type</t>
  </si>
  <si>
    <t>powerconsumption</t>
  </si>
  <si>
    <t>gasconsumption</t>
  </si>
  <si>
    <t>turbo</t>
  </si>
  <si>
    <t>electric</t>
  </si>
  <si>
    <t>node</t>
  </si>
  <si>
    <t>output</t>
  </si>
  <si>
    <t>is_slack</t>
  </si>
  <si>
    <t>demand</t>
  </si>
  <si>
    <t>temperature</t>
  </si>
  <si>
    <t>定压力</t>
  </si>
  <si>
    <t>定注入</t>
  </si>
  <si>
    <t>length</t>
  </si>
  <si>
    <t>diameter</t>
  </si>
  <si>
    <t>friction_factor</t>
  </si>
  <si>
    <t>deltaT</t>
  </si>
  <si>
    <t>dissipation</t>
  </si>
  <si>
    <t>valve</t>
  </si>
  <si>
    <t>pump</t>
  </si>
  <si>
    <t>massflow</t>
  </si>
  <si>
    <t>T_in</t>
  </si>
  <si>
    <t>T_out</t>
  </si>
  <si>
    <t>heat_loss</t>
  </si>
  <si>
    <t>kv</t>
  </si>
  <si>
    <t>kp1</t>
  </si>
  <si>
    <t>kp2</t>
  </si>
  <si>
    <t>kp3</t>
  </si>
  <si>
    <t>w</t>
  </si>
  <si>
    <t>powernode</t>
  </si>
  <si>
    <t>gasnode</t>
  </si>
  <si>
    <t>flow</t>
  </si>
  <si>
    <t>PCI</t>
  </si>
  <si>
    <t>electricity</t>
  </si>
  <si>
    <t>gas</t>
  </si>
  <si>
    <t>electricity_o1</t>
  </si>
  <si>
    <t>electricity_o2</t>
  </si>
  <si>
    <t>heat_o1</t>
  </si>
  <si>
    <t>heat_o2</t>
  </si>
  <si>
    <t>cooling_o1</t>
  </si>
  <si>
    <t>cooling_o2</t>
  </si>
  <si>
    <t>sheet</t>
  </si>
  <si>
    <t>field</t>
  </si>
  <si>
    <t>unit</t>
  </si>
  <si>
    <t>required_sheet</t>
  </si>
  <si>
    <t>dtype</t>
  </si>
  <si>
    <t>rules</t>
  </si>
  <si>
    <t>notes</t>
  </si>
  <si>
    <t>power_meta</t>
  </si>
  <si>
    <t>Y</t>
  </si>
  <si>
    <t>int64</t>
  </si>
  <si>
    <t>power_bus</t>
  </si>
  <si>
    <t>MW</t>
  </si>
  <si>
    <t>MVAr</t>
  </si>
  <si>
    <t>p.u.</t>
  </si>
  <si>
    <t>deg</t>
  </si>
  <si>
    <t>kV</t>
  </si>
  <si>
    <t>float64</t>
  </si>
  <si>
    <t>power_gen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</si>
  <si>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</si>
  <si>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</si>
  <si>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</si>
  <si>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</si>
  <si>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</si>
  <si>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</si>
  <si>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</si>
  <si>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</si>
  <si>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</si>
  <si>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</si>
  <si>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power_branch</t>
  </si>
  <si>
    <t>MVA</t>
  </si>
  <si>
    <t>power_gci</t>
  </si>
  <si>
    <t>gas_nodes</t>
  </si>
  <si>
    <t>MPa</t>
  </si>
  <si>
    <t>km3/h</t>
  </si>
  <si>
    <t>tCO2/h</t>
  </si>
  <si>
    <t>gas_pipelines</t>
  </si>
  <si>
    <t>-</t>
  </si>
  <si>
    <t>gas_compressors</t>
  </si>
  <si>
    <t>object</t>
  </si>
  <si>
    <t>gas_sources</t>
  </si>
  <si>
    <t>gas_loads</t>
  </si>
  <si>
    <t>heat_nodes</t>
  </si>
  <si>
    <t>°C</t>
  </si>
  <si>
    <t>heat_pipelines</t>
  </si>
  <si>
    <t>kg/s</t>
  </si>
  <si>
    <t>kW</t>
  </si>
  <si>
    <t>heat_valves</t>
  </si>
  <si>
    <t>heat_pumps</t>
  </si>
  <si>
    <t>heat_sources</t>
  </si>
  <si>
    <t>heat_loads</t>
  </si>
  <si>
    <t>eh_meta</t>
  </si>
  <si>
    <t>eh_inputs</t>
  </si>
  <si>
    <t>tCO2/MWh</t>
  </si>
  <si>
    <t>eh_outputs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</si>
  <si>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</si>
  <si>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</si>
  <si>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</si>
  <si>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</si>
  <si>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</si>
  <si>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</si>
  <si>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</si>
  <si>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</si>
  <si>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</si>
  <si>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</si>
  <si>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</si>
  <si>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</si>
  <si>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</si>
  <si>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</si>
  <si>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</si>
  <si>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</si>
  <si>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</si>
  <si>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</si>
  <si>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</si>
  <si>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</si>
  <si>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</si>
  <si>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</si>
  <si>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</si>
  <si>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</si>
  <si>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gen_id</t>
  </si>
  <si>
    <t>PMAX_ref</t>
  </si>
  <si>
    <t>PCI_ref</t>
  </si>
  <si>
    <t>load_id</t>
  </si>
  <si>
    <t>env_id</t>
  </si>
  <si>
    <t>site_1</t>
  </si>
  <si>
    <t>tariff_id</t>
  </si>
  <si>
    <t>default</t>
  </si>
  <si>
    <t>profile_id</t>
  </si>
  <si>
    <t>ext_grid</t>
  </si>
  <si>
    <t>source_id</t>
  </si>
  <si>
    <t>mode</t>
    <phoneticPr fontId="2" type="noConversion"/>
  </si>
  <si>
    <t>heat_priority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</si>
</sst>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2" sqref="A2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workbookViewId="0">
      <selection activeCell="D11" sqref="D11"/>
    </sheetView>
  </sheetViews>
  <sheetFormatPr defaultRowHeight="14" x14ac:dyDescent="0.25"/>
  <sheetData>
    <row r="1" spans="1:13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>
        <v>1</v>
      </c>
      <c r="B2">
        <v>2</v>
      </c>
      <c r="C2">
        <v>2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110</v>
      </c>
      <c r="K2">
        <v>1</v>
      </c>
      <c r="L2">
        <v>1.1000000000000001</v>
      </c>
      <c r="M2">
        <v>0.9</v>
      </c>
    </row>
    <row r="3" spans="1:13" x14ac:dyDescent="0.25">
      <c r="A3">
        <v>2</v>
      </c>
      <c r="B3">
        <v>3</v>
      </c>
      <c r="C3">
        <v>3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110</v>
      </c>
      <c r="K3">
        <v>1</v>
      </c>
      <c r="L3">
        <v>1.1000000000000001</v>
      </c>
      <c r="M3">
        <v>0.9</v>
      </c>
    </row>
    <row r="4" spans="1:13" x14ac:dyDescent="0.25">
      <c r="A4">
        <v>3</v>
      </c>
      <c r="B4">
        <v>1</v>
      </c>
      <c r="C4">
        <v>2.8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110</v>
      </c>
      <c r="K4">
        <v>1</v>
      </c>
      <c r="L4">
        <v>1.1000000000000001</v>
      </c>
      <c r="M4">
        <v>0.9</v>
      </c>
    </row>
    <row r="5" spans="1:13" x14ac:dyDescent="0.25">
      <c r="A5">
        <v>4</v>
      </c>
      <c r="B5">
        <v>2</v>
      </c>
      <c r="C5">
        <v>1</v>
      </c>
      <c r="D5">
        <v>0.5</v>
      </c>
      <c r="E5">
        <v>0</v>
      </c>
      <c r="F5">
        <v>0</v>
      </c>
      <c r="G5">
        <v>1</v>
      </c>
      <c r="H5">
        <v>1</v>
      </c>
      <c r="I5">
        <v>0</v>
      </c>
      <c r="J5">
        <v>110</v>
      </c>
      <c r="K5">
        <v>1</v>
      </c>
      <c r="L5">
        <v>1.1000000000000001</v>
      </c>
      <c r="M5">
        <v>0.9</v>
      </c>
    </row>
    <row r="6" spans="1:13" x14ac:dyDescent="0.25">
      <c r="A6">
        <v>5</v>
      </c>
      <c r="B6">
        <v>1</v>
      </c>
      <c r="C6">
        <v>2.8</v>
      </c>
      <c r="D6">
        <v>1.2</v>
      </c>
      <c r="E6">
        <v>0</v>
      </c>
      <c r="F6">
        <v>0</v>
      </c>
      <c r="G6">
        <v>1</v>
      </c>
      <c r="H6">
        <v>1</v>
      </c>
      <c r="I6">
        <v>0</v>
      </c>
      <c r="J6">
        <v>110</v>
      </c>
      <c r="K6">
        <v>1</v>
      </c>
      <c r="L6">
        <v>1.1000000000000001</v>
      </c>
      <c r="M6">
        <v>0.9</v>
      </c>
    </row>
    <row r="7" spans="1:13" x14ac:dyDescent="0.25">
      <c r="A7">
        <v>6</v>
      </c>
      <c r="B7">
        <v>1</v>
      </c>
      <c r="C7">
        <v>2</v>
      </c>
      <c r="D7">
        <v>1.2</v>
      </c>
      <c r="E7">
        <v>0</v>
      </c>
      <c r="F7">
        <v>0</v>
      </c>
      <c r="G7">
        <v>1</v>
      </c>
      <c r="H7">
        <v>1</v>
      </c>
      <c r="I7">
        <v>0</v>
      </c>
      <c r="J7">
        <v>110</v>
      </c>
      <c r="K7">
        <v>1</v>
      </c>
      <c r="L7">
        <v>1.1000000000000001</v>
      </c>
      <c r="M7">
        <v>0.9</v>
      </c>
    </row>
    <row r="8" spans="1:13" x14ac:dyDescent="0.25">
      <c r="A8">
        <v>7</v>
      </c>
      <c r="B8">
        <v>2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110</v>
      </c>
      <c r="K8">
        <v>1</v>
      </c>
      <c r="L8">
        <v>1.1000000000000001</v>
      </c>
      <c r="M8">
        <v>0.9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selection activeCell="E10" sqref="E10"/>
    </sheetView>
  </sheetViews>
  <sheetFormatPr defaultRowHeight="14" x14ac:dyDescent="0.25"/>
  <sheetData>
    <row r="1" spans="1:10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 x14ac:dyDescent="0.25">
      <c r="A2">
        <v>1</v>
      </c>
      <c r="B2">
        <v>5</v>
      </c>
      <c r="C2">
        <v>0</v>
      </c>
      <c r="D2">
        <v>300</v>
      </c>
      <c r="E2">
        <v>-300</v>
      </c>
      <c r="F2">
        <v>1</v>
      </c>
      <c r="G2">
        <v>1</v>
      </c>
      <c r="H2">
        <v>100</v>
      </c>
      <c r="I2">
        <v>5</v>
      </c>
      <c r="J2">
        <v>0</v>
      </c>
    </row>
    <row r="3" spans="1:10" x14ac:dyDescent="0.25">
      <c r="A3">
        <v>2</v>
      </c>
      <c r="B3">
        <v>5</v>
      </c>
      <c r="C3">
        <v>0</v>
      </c>
      <c r="D3">
        <v>300</v>
      </c>
      <c r="E3">
        <v>-300</v>
      </c>
      <c r="F3">
        <v>1</v>
      </c>
      <c r="G3">
        <v>1</v>
      </c>
      <c r="H3">
        <v>100</v>
      </c>
      <c r="I3">
        <v>5</v>
      </c>
      <c r="J3">
        <v>0</v>
      </c>
    </row>
    <row r="4" spans="1:10" x14ac:dyDescent="0.25">
      <c r="A4">
        <v>7</v>
      </c>
      <c r="B4">
        <v>0</v>
      </c>
      <c r="C4">
        <v>0</v>
      </c>
      <c r="D4">
        <v>300</v>
      </c>
      <c r="E4">
        <v>-300</v>
      </c>
      <c r="F4">
        <v>1</v>
      </c>
      <c r="G4">
        <v>1</v>
      </c>
      <c r="H4">
        <v>100</v>
      </c>
      <c r="I4">
        <v>10</v>
      </c>
      <c r="J4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/>
  </sheetViews>
  <sheetFormatPr defaultRowHeight="14" x14ac:dyDescent="0.25"/>
  <sheetData>
    <row r="1" spans="1:13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25">
      <c r="A2">
        <v>1</v>
      </c>
      <c r="B2">
        <v>2</v>
      </c>
      <c r="C2">
        <v>0.1</v>
      </c>
      <c r="D2">
        <v>0.2</v>
      </c>
      <c r="E2">
        <v>0.04</v>
      </c>
      <c r="F2">
        <v>200</v>
      </c>
      <c r="G2">
        <v>200</v>
      </c>
      <c r="H2">
        <v>200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 x14ac:dyDescent="0.25">
      <c r="A3">
        <v>1</v>
      </c>
      <c r="B3">
        <v>6</v>
      </c>
      <c r="C3">
        <v>0.25</v>
      </c>
      <c r="D3">
        <v>0.5</v>
      </c>
      <c r="E3">
        <v>0.04</v>
      </c>
      <c r="F3">
        <v>200</v>
      </c>
      <c r="G3">
        <v>200</v>
      </c>
      <c r="H3">
        <v>200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 x14ac:dyDescent="0.25">
      <c r="A4">
        <v>2</v>
      </c>
      <c r="B4">
        <v>3</v>
      </c>
      <c r="C4">
        <v>0.15</v>
      </c>
      <c r="D4">
        <v>0.3</v>
      </c>
      <c r="E4">
        <v>0.06</v>
      </c>
      <c r="F4">
        <v>200</v>
      </c>
      <c r="G4">
        <v>200</v>
      </c>
      <c r="H4">
        <v>200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 x14ac:dyDescent="0.25">
      <c r="A5">
        <v>2</v>
      </c>
      <c r="B5">
        <v>6</v>
      </c>
      <c r="C5">
        <v>0.25</v>
      </c>
      <c r="D5">
        <v>0.5</v>
      </c>
      <c r="E5">
        <v>0.02</v>
      </c>
      <c r="F5">
        <v>200</v>
      </c>
      <c r="G5">
        <v>200</v>
      </c>
      <c r="H5">
        <v>200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 x14ac:dyDescent="0.25">
      <c r="A6">
        <v>3</v>
      </c>
      <c r="B6">
        <v>4</v>
      </c>
      <c r="C6">
        <v>0.12</v>
      </c>
      <c r="D6">
        <v>0.26</v>
      </c>
      <c r="E6">
        <v>0.05</v>
      </c>
      <c r="F6">
        <v>200</v>
      </c>
      <c r="G6">
        <v>200</v>
      </c>
      <c r="H6">
        <v>200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 x14ac:dyDescent="0.25">
      <c r="A7">
        <v>4</v>
      </c>
      <c r="B7">
        <v>5</v>
      </c>
      <c r="C7">
        <v>0.2</v>
      </c>
      <c r="D7">
        <v>0.4</v>
      </c>
      <c r="E7">
        <v>0.08</v>
      </c>
      <c r="F7">
        <v>300</v>
      </c>
      <c r="G7">
        <v>300</v>
      </c>
      <c r="H7">
        <v>300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 x14ac:dyDescent="0.25">
      <c r="A8">
        <v>5</v>
      </c>
      <c r="B8">
        <v>6</v>
      </c>
      <c r="C8">
        <v>0.2</v>
      </c>
      <c r="D8">
        <v>0.4</v>
      </c>
      <c r="E8">
        <v>0.06</v>
      </c>
      <c r="F8">
        <v>200</v>
      </c>
      <c r="G8">
        <v>200</v>
      </c>
      <c r="H8">
        <v>200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 x14ac:dyDescent="0.25">
      <c r="A9">
        <v>7</v>
      </c>
      <c r="B9">
        <v>1</v>
      </c>
      <c r="C9">
        <v>0.1</v>
      </c>
      <c r="D9">
        <v>0.2</v>
      </c>
      <c r="E9">
        <v>0.04</v>
      </c>
      <c r="F9">
        <v>200</v>
      </c>
      <c r="G9">
        <v>200</v>
      </c>
      <c r="H9">
        <v>200</v>
      </c>
      <c r="I9">
        <v>0</v>
      </c>
      <c r="J9">
        <v>0</v>
      </c>
      <c r="K9">
        <v>1</v>
      </c>
      <c r="L9">
        <v>-360</v>
      </c>
      <c r="M9">
        <v>360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selection activeCell="D4" sqref="D4"/>
    </sheetView>
  </sheetViews>
  <sheetFormatPr defaultRowHeight="14" x14ac:dyDescent="0.25"/>
  <sheetData>
    <row r="1" spans="1:12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</row>
    <row r="2" spans="1:12" x14ac:dyDescent="0.25">
      <c r="A2" t="s">
        <v>39</v>
      </c>
      <c r="B2">
        <v>3</v>
      </c>
      <c r="C2">
        <v>5</v>
      </c>
      <c r="D2">
        <v>5</v>
      </c>
      <c r="E2">
        <v>0.95</v>
      </c>
      <c r="F2">
        <v>0.95</v>
      </c>
      <c r="G2">
        <v>0.999</v>
      </c>
      <c r="H2">
        <v>0.5</v>
      </c>
      <c r="I2">
        <v>30</v>
      </c>
      <c r="J2">
        <v>10</v>
      </c>
      <c r="K2">
        <v>0.3</v>
      </c>
      <c r="L2" t="s">
        <v>40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defaultRowHeight="14" x14ac:dyDescent="0.25"/>
  <sheetData>
    <row r="1" spans="1:1" x14ac:dyDescent="0.25">
      <c r="A1" s="1" t="s">
        <v>41</v>
      </c>
    </row>
    <row r="2" spans="1:1" x14ac:dyDescent="0.25">
      <c r="A2">
        <v>0.3</v>
      </c>
    </row>
    <row r="3" spans="1:1" x14ac:dyDescent="0.25">
      <c r="A3">
        <v>0</v>
      </c>
    </row>
    <row r="4" spans="1:1" x14ac:dyDescent="0.25">
      <c r="A4">
        <v>0.4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defaultRowHeight="14" x14ac:dyDescent="0.25"/>
  <sheetData>
    <row r="1" spans="1:6" x14ac:dyDescent="0.25">
      <c r="A1" s="1" t="s">
        <v>27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 x14ac:dyDescent="0.25">
      <c r="A2">
        <v>1</v>
      </c>
      <c r="B2">
        <v>140</v>
      </c>
      <c r="C2">
        <v>150</v>
      </c>
      <c r="D2">
        <v>100</v>
      </c>
      <c r="E2">
        <v>0</v>
      </c>
      <c r="F2">
        <v>0</v>
      </c>
    </row>
    <row r="3" spans="1:6" x14ac:dyDescent="0.25">
      <c r="A3">
        <v>2</v>
      </c>
      <c r="C3">
        <v>150</v>
      </c>
      <c r="D3">
        <v>100</v>
      </c>
      <c r="E3">
        <v>0</v>
      </c>
      <c r="F3">
        <v>0</v>
      </c>
    </row>
    <row r="4" spans="1:6" x14ac:dyDescent="0.25">
      <c r="A4">
        <v>3</v>
      </c>
      <c r="C4">
        <v>150</v>
      </c>
      <c r="D4">
        <v>100</v>
      </c>
      <c r="E4">
        <v>0</v>
      </c>
      <c r="F4">
        <v>0</v>
      </c>
    </row>
    <row r="5" spans="1:6" x14ac:dyDescent="0.25">
      <c r="A5">
        <v>4</v>
      </c>
      <c r="C5">
        <v>150</v>
      </c>
      <c r="D5">
        <v>100</v>
      </c>
      <c r="E5">
        <v>0</v>
      </c>
      <c r="F5">
        <v>0</v>
      </c>
    </row>
    <row r="6" spans="1:6" x14ac:dyDescent="0.25">
      <c r="A6">
        <v>5</v>
      </c>
      <c r="C6">
        <v>150</v>
      </c>
      <c r="D6">
        <v>100</v>
      </c>
      <c r="E6">
        <v>0</v>
      </c>
      <c r="F6">
        <v>0</v>
      </c>
    </row>
    <row r="7" spans="1:6" x14ac:dyDescent="0.25">
      <c r="A7">
        <v>6</v>
      </c>
      <c r="C7">
        <v>150</v>
      </c>
      <c r="D7">
        <v>100</v>
      </c>
      <c r="E7">
        <v>0</v>
      </c>
      <c r="F7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/>
  </sheetViews>
  <sheetFormatPr defaultRowHeight="14" x14ac:dyDescent="0.25"/>
  <sheetData>
    <row r="1" spans="1:7" x14ac:dyDescent="0.25">
      <c r="A1" s="1" t="s">
        <v>27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46</v>
      </c>
    </row>
    <row r="2" spans="1:7" x14ac:dyDescent="0.25">
      <c r="A2">
        <v>1</v>
      </c>
      <c r="B2">
        <v>1</v>
      </c>
      <c r="C2">
        <v>2</v>
      </c>
      <c r="D2">
        <v>0</v>
      </c>
      <c r="E2">
        <v>3.4260000000000002</v>
      </c>
      <c r="F2">
        <v>300</v>
      </c>
      <c r="G2">
        <v>0</v>
      </c>
    </row>
    <row r="3" spans="1:7" x14ac:dyDescent="0.25">
      <c r="A3">
        <v>2</v>
      </c>
      <c r="B3">
        <v>2</v>
      </c>
      <c r="C3">
        <v>3</v>
      </c>
      <c r="D3">
        <v>0</v>
      </c>
      <c r="E3">
        <v>3.0960000000000001</v>
      </c>
      <c r="F3">
        <v>300</v>
      </c>
      <c r="G3">
        <v>0</v>
      </c>
    </row>
    <row r="4" spans="1:7" x14ac:dyDescent="0.25">
      <c r="A4">
        <v>3</v>
      </c>
      <c r="B4">
        <v>2</v>
      </c>
      <c r="C4">
        <v>5</v>
      </c>
      <c r="D4">
        <v>0</v>
      </c>
      <c r="E4">
        <v>1.7070000000000001</v>
      </c>
      <c r="F4">
        <v>150</v>
      </c>
      <c r="G4">
        <v>0</v>
      </c>
    </row>
    <row r="5" spans="1:7" x14ac:dyDescent="0.25">
      <c r="A5">
        <v>4</v>
      </c>
      <c r="B5">
        <v>4</v>
      </c>
      <c r="C5">
        <v>5</v>
      </c>
      <c r="D5">
        <v>0</v>
      </c>
      <c r="E5">
        <v>3.0529999999999999</v>
      </c>
      <c r="F5">
        <v>300</v>
      </c>
      <c r="G5">
        <v>0</v>
      </c>
    </row>
    <row r="6" spans="1:7" x14ac:dyDescent="0.25">
      <c r="A6">
        <v>5</v>
      </c>
      <c r="B6">
        <v>5</v>
      </c>
      <c r="C6">
        <v>6</v>
      </c>
      <c r="D6">
        <v>0</v>
      </c>
      <c r="E6">
        <v>2.5649999999999999</v>
      </c>
      <c r="F6">
        <v>200</v>
      </c>
      <c r="G6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>
      <selection activeCell="B1" sqref="B1"/>
    </sheetView>
  </sheetViews>
  <sheetFormatPr defaultRowHeight="14" x14ac:dyDescent="0.25"/>
  <sheetData>
    <row r="1" spans="1:5" x14ac:dyDescent="0.25">
      <c r="A1" s="1" t="s">
        <v>27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 x14ac:dyDescent="0.25">
      <c r="A2">
        <v>1</v>
      </c>
      <c r="B2">
        <v>2</v>
      </c>
      <c r="C2" t="s">
        <v>56</v>
      </c>
      <c r="E2">
        <v>4.91</v>
      </c>
    </row>
    <row r="3" spans="1:5" x14ac:dyDescent="0.25">
      <c r="A3">
        <v>2</v>
      </c>
      <c r="B3">
        <v>4</v>
      </c>
      <c r="C3" t="s">
        <v>57</v>
      </c>
      <c r="E3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topLeftCell="B1" workbookViewId="0">
      <selection activeCell="C4" sqref="C4"/>
    </sheetView>
  </sheetViews>
  <sheetFormatPr defaultRowHeight="14" x14ac:dyDescent="0.25"/>
  <sheetData>
    <row r="1" spans="1:5" x14ac:dyDescent="0.25">
      <c r="A1" s="1" t="s">
        <v>27</v>
      </c>
      <c r="B1" s="1" t="s">
        <v>58</v>
      </c>
      <c r="C1" s="1" t="s">
        <v>59</v>
      </c>
      <c r="D1" s="1" t="s">
        <v>41</v>
      </c>
      <c r="E1" t="s">
        <v>60</v>
      </c>
    </row>
    <row r="2" spans="1:5" x14ac:dyDescent="0.25">
      <c r="A2">
        <v>1</v>
      </c>
      <c r="B2">
        <v>1</v>
      </c>
      <c r="C2">
        <f>0.0122*267.29</f>
        <v>3.2609380000000003</v>
      </c>
      <c r="D2">
        <v>0.2</v>
      </c>
      <c r="E2">
        <v>1</v>
      </c>
    </row>
    <row r="3" spans="1:5" x14ac:dyDescent="0.25">
      <c r="A3">
        <v>2</v>
      </c>
      <c r="B3">
        <v>4</v>
      </c>
      <c r="C3">
        <f>0.012*205</f>
        <v>2.46</v>
      </c>
      <c r="D3">
        <v>0.2</v>
      </c>
      <c r="E3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>
      <selection activeCell="C6" sqref="C6"/>
    </sheetView>
  </sheetViews>
  <sheetFormatPr defaultRowHeight="14" x14ac:dyDescent="0.25"/>
  <sheetData>
    <row r="1" spans="1:3" x14ac:dyDescent="0.25">
      <c r="A1" s="1" t="s">
        <v>27</v>
      </c>
      <c r="B1" s="1" t="s">
        <v>58</v>
      </c>
      <c r="C1" s="1" t="s">
        <v>61</v>
      </c>
    </row>
    <row r="2" spans="1:3" x14ac:dyDescent="0.25">
      <c r="A2">
        <v>1</v>
      </c>
      <c r="B2">
        <v>2</v>
      </c>
      <c r="C2">
        <f>0.012*150</f>
        <v>1.8</v>
      </c>
    </row>
    <row r="3" spans="1:3" x14ac:dyDescent="0.25">
      <c r="A3">
        <v>2</v>
      </c>
      <c r="B3">
        <v>3</v>
      </c>
      <c r="C3">
        <f>0.012*150</f>
        <v>1.8</v>
      </c>
    </row>
    <row r="4" spans="1:3" x14ac:dyDescent="0.25">
      <c r="A4">
        <v>3</v>
      </c>
      <c r="B4">
        <v>5</v>
      </c>
      <c r="C4">
        <f>0.012*99.04</f>
        <v>1.1884800000000002</v>
      </c>
    </row>
    <row r="5" spans="1:3" x14ac:dyDescent="0.25">
      <c r="A5">
        <v>4</v>
      </c>
      <c r="B5">
        <v>6</v>
      </c>
      <c r="C5">
        <f>0.012*68.34</f>
        <v>0.82008000000000003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workbookViewId="0"/>
  </sheetViews>
  <sheetFormatPr defaultRowHeight="14" x14ac:dyDescent="0.25"/>
  <sheetData>
    <row r="1" spans="1:5" x14ac:dyDescent="0.25">
      <c r="A1" s="1" t="s">
        <v>27</v>
      </c>
      <c r="B1" s="1" t="s">
        <v>53</v>
      </c>
      <c r="C1" s="1" t="s">
        <v>42</v>
      </c>
      <c r="D1" s="1" t="s">
        <v>45</v>
      </c>
      <c r="E1" s="1" t="s">
        <v>62</v>
      </c>
    </row>
    <row r="2" spans="1:5" x14ac:dyDescent="0.25">
      <c r="A2">
        <v>1</v>
      </c>
      <c r="B2" t="s">
        <v>63</v>
      </c>
      <c r="C2">
        <v>3</v>
      </c>
      <c r="D2">
        <v>0</v>
      </c>
      <c r="E2">
        <v>100</v>
      </c>
    </row>
    <row r="3" spans="1:5" x14ac:dyDescent="0.25">
      <c r="A3">
        <v>2</v>
      </c>
      <c r="B3" t="s">
        <v>64</v>
      </c>
      <c r="C3">
        <v>0</v>
      </c>
      <c r="D3">
        <v>0</v>
      </c>
      <c r="E3">
        <v>0</v>
      </c>
    </row>
    <row r="4" spans="1:5" x14ac:dyDescent="0.25">
      <c r="A4">
        <v>3</v>
      </c>
      <c r="B4" t="s">
        <v>64</v>
      </c>
      <c r="C4">
        <v>0</v>
      </c>
      <c r="D4">
        <v>0</v>
      </c>
      <c r="E4">
        <v>0</v>
      </c>
    </row>
    <row r="5" spans="1:5" x14ac:dyDescent="0.25">
      <c r="A5">
        <v>4</v>
      </c>
      <c r="B5" t="s">
        <v>64</v>
      </c>
      <c r="C5">
        <v>0</v>
      </c>
      <c r="D5">
        <v>0</v>
      </c>
      <c r="E5">
        <v>0</v>
      </c>
    </row>
    <row r="6" spans="1:5" x14ac:dyDescent="0.25">
      <c r="A6">
        <v>5</v>
      </c>
      <c r="B6" t="s">
        <v>64</v>
      </c>
      <c r="C6">
        <v>0</v>
      </c>
      <c r="D6">
        <v>0</v>
      </c>
      <c r="E6">
        <v>0</v>
      </c>
    </row>
    <row r="7" spans="1:5" x14ac:dyDescent="0.25">
      <c r="A7">
        <v>6</v>
      </c>
      <c r="B7" t="s">
        <v>64</v>
      </c>
      <c r="C7">
        <v>0</v>
      </c>
      <c r="D7">
        <v>0</v>
      </c>
      <c r="E7">
        <v>0</v>
      </c>
    </row>
    <row r="8" spans="1:5" x14ac:dyDescent="0.25">
      <c r="A8">
        <v>7</v>
      </c>
      <c r="B8" t="s">
        <v>64</v>
      </c>
      <c r="C8">
        <v>0</v>
      </c>
      <c r="D8">
        <v>-300</v>
      </c>
      <c r="E8">
        <v>0</v>
      </c>
    </row>
    <row r="9" spans="1:5" x14ac:dyDescent="0.25">
      <c r="A9">
        <v>8</v>
      </c>
      <c r="B9" t="s">
        <v>64</v>
      </c>
      <c r="C9">
        <v>0</v>
      </c>
      <c r="D9">
        <v>0</v>
      </c>
      <c r="E9">
        <v>0</v>
      </c>
    </row>
    <row r="10" spans="1:5" x14ac:dyDescent="0.25">
      <c r="A10">
        <v>9</v>
      </c>
      <c r="B10" t="s">
        <v>64</v>
      </c>
      <c r="C10">
        <v>0</v>
      </c>
      <c r="D10">
        <v>0</v>
      </c>
      <c r="E10">
        <v>0</v>
      </c>
    </row>
    <row r="11" spans="1:5" x14ac:dyDescent="0.25">
      <c r="A11">
        <v>10</v>
      </c>
      <c r="B11" t="s">
        <v>64</v>
      </c>
      <c r="C11">
        <v>0</v>
      </c>
      <c r="D11">
        <v>0</v>
      </c>
      <c r="E11">
        <v>0</v>
      </c>
    </row>
    <row r="12" spans="1:5" x14ac:dyDescent="0.25">
      <c r="A12">
        <v>11</v>
      </c>
      <c r="B12" t="s">
        <v>64</v>
      </c>
      <c r="C12">
        <v>0</v>
      </c>
      <c r="D12">
        <v>0</v>
      </c>
      <c r="E12">
        <v>0</v>
      </c>
    </row>
    <row r="13" spans="1:5" x14ac:dyDescent="0.25">
      <c r="A13">
        <v>12</v>
      </c>
      <c r="B13" t="s">
        <v>64</v>
      </c>
      <c r="C13">
        <v>0</v>
      </c>
      <c r="D13">
        <v>0</v>
      </c>
      <c r="E13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4"/>
  <sheetViews>
    <sheetView workbookViewId="0"/>
  </sheetViews>
  <sheetFormatPr defaultRowHeight="14" x14ac:dyDescent="0.25"/>
  <sheetData>
    <row r="1" spans="1:14" x14ac:dyDescent="0.25">
      <c r="A1" s="1" t="s">
        <v>27</v>
      </c>
      <c r="B1" s="1" t="s">
        <v>47</v>
      </c>
      <c r="C1" s="1" t="s">
        <v>48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</row>
    <row r="2" spans="1:14" x14ac:dyDescent="0.25">
      <c r="A2">
        <v>1</v>
      </c>
      <c r="B2">
        <v>1</v>
      </c>
      <c r="C2">
        <v>2</v>
      </c>
      <c r="D2">
        <v>3000</v>
      </c>
      <c r="E2">
        <v>0.4</v>
      </c>
      <c r="F2">
        <v>0.05</v>
      </c>
      <c r="G2">
        <v>0</v>
      </c>
      <c r="H2">
        <v>1.5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2</v>
      </c>
      <c r="B3">
        <v>2</v>
      </c>
      <c r="C3">
        <v>3</v>
      </c>
      <c r="D3">
        <v>5000</v>
      </c>
      <c r="E3">
        <v>0.4</v>
      </c>
      <c r="F3">
        <v>0.05</v>
      </c>
      <c r="G3">
        <v>0</v>
      </c>
      <c r="H3">
        <v>1.5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3</v>
      </c>
      <c r="B4">
        <v>3</v>
      </c>
      <c r="C4">
        <v>5</v>
      </c>
      <c r="D4">
        <v>3000</v>
      </c>
      <c r="E4">
        <v>0.25</v>
      </c>
      <c r="F4">
        <v>0.05</v>
      </c>
      <c r="G4">
        <v>0</v>
      </c>
      <c r="H4">
        <v>1.5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4</v>
      </c>
      <c r="B5">
        <v>2</v>
      </c>
      <c r="C5">
        <v>6</v>
      </c>
      <c r="D5">
        <v>4000</v>
      </c>
      <c r="E5">
        <v>0.25</v>
      </c>
      <c r="F5">
        <v>0.05</v>
      </c>
      <c r="G5">
        <v>0</v>
      </c>
      <c r="H5">
        <v>1.5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5</v>
      </c>
      <c r="B6">
        <v>3</v>
      </c>
      <c r="C6">
        <v>4</v>
      </c>
      <c r="D6">
        <v>4000</v>
      </c>
      <c r="E6">
        <v>0.25</v>
      </c>
      <c r="F6">
        <v>0.05</v>
      </c>
      <c r="G6">
        <v>0</v>
      </c>
      <c r="H6">
        <v>1.5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6</v>
      </c>
      <c r="B7">
        <v>8</v>
      </c>
      <c r="C7">
        <v>7</v>
      </c>
      <c r="D7">
        <v>3000</v>
      </c>
      <c r="E7">
        <v>0.4</v>
      </c>
      <c r="F7">
        <v>0.05</v>
      </c>
      <c r="G7">
        <v>0</v>
      </c>
      <c r="H7">
        <v>1.5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7</v>
      </c>
      <c r="B8">
        <v>9</v>
      </c>
      <c r="C8">
        <v>8</v>
      </c>
      <c r="D8">
        <v>5000</v>
      </c>
      <c r="E8">
        <v>0.4</v>
      </c>
      <c r="F8">
        <v>0.05</v>
      </c>
      <c r="G8">
        <v>0</v>
      </c>
      <c r="H8">
        <v>1.5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8</v>
      </c>
      <c r="B9">
        <v>11</v>
      </c>
      <c r="C9">
        <v>9</v>
      </c>
      <c r="D9">
        <v>3000</v>
      </c>
      <c r="E9">
        <v>0.25</v>
      </c>
      <c r="F9">
        <v>0.05</v>
      </c>
      <c r="G9">
        <v>0</v>
      </c>
      <c r="H9">
        <v>1.5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9</v>
      </c>
      <c r="B10">
        <v>12</v>
      </c>
      <c r="C10">
        <v>8</v>
      </c>
      <c r="D10">
        <v>4000</v>
      </c>
      <c r="E10">
        <v>0.25</v>
      </c>
      <c r="F10">
        <v>0.05</v>
      </c>
      <c r="G10">
        <v>0</v>
      </c>
      <c r="H10">
        <v>1.5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10</v>
      </c>
      <c r="B11">
        <v>10</v>
      </c>
      <c r="C11">
        <v>9</v>
      </c>
      <c r="D11">
        <v>4000</v>
      </c>
      <c r="E11">
        <v>0.25</v>
      </c>
      <c r="F11">
        <v>0.05</v>
      </c>
      <c r="G11">
        <v>0</v>
      </c>
      <c r="H11">
        <v>1.5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11</v>
      </c>
      <c r="B12">
        <v>6</v>
      </c>
      <c r="C12">
        <v>12</v>
      </c>
      <c r="D12">
        <v>200</v>
      </c>
      <c r="E12">
        <v>0.2</v>
      </c>
      <c r="F12">
        <v>8.0000000000000016E-2</v>
      </c>
      <c r="G12">
        <v>-20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12</v>
      </c>
      <c r="B13">
        <v>4</v>
      </c>
      <c r="C13">
        <v>10</v>
      </c>
      <c r="D13">
        <v>200</v>
      </c>
      <c r="E13">
        <v>0.2</v>
      </c>
      <c r="F13">
        <v>8.0000000000000016E-2</v>
      </c>
      <c r="G13">
        <v>-25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13</v>
      </c>
      <c r="B14">
        <v>5</v>
      </c>
      <c r="C14">
        <v>11</v>
      </c>
      <c r="D14">
        <v>200</v>
      </c>
      <c r="E14">
        <v>0.2</v>
      </c>
      <c r="F14">
        <v>8.0000000000000016E-2</v>
      </c>
      <c r="G14">
        <v>-20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/>
  </sheetViews>
  <sheetFormatPr defaultRowHeight="14" x14ac:dyDescent="0.25"/>
  <sheetData>
    <row r="1" spans="1:2" x14ac:dyDescent="0.25">
      <c r="A1" s="1" t="s">
        <v>27</v>
      </c>
      <c r="B1" s="1" t="s">
        <v>76</v>
      </c>
    </row>
    <row r="2" spans="1:2" x14ac:dyDescent="0.25">
      <c r="A2">
        <v>1</v>
      </c>
      <c r="B2">
        <v>6.13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"/>
  <sheetViews>
    <sheetView workbookViewId="0"/>
  </sheetViews>
  <sheetFormatPr defaultRowHeight="14" x14ac:dyDescent="0.25"/>
  <sheetData>
    <row r="1" spans="1:5" x14ac:dyDescent="0.25">
      <c r="A1" s="1" t="s">
        <v>27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 x14ac:dyDescent="0.25">
      <c r="A2">
        <v>1</v>
      </c>
      <c r="B2">
        <v>-4.75</v>
      </c>
      <c r="C2">
        <v>-2.77</v>
      </c>
      <c r="D2">
        <v>72.81</v>
      </c>
      <c r="E2">
        <v>75</v>
      </c>
    </row>
    <row r="3" spans="1:5" x14ac:dyDescent="0.25">
      <c r="A3">
        <v>2</v>
      </c>
      <c r="B3">
        <v>-4.75</v>
      </c>
      <c r="C3">
        <v>-2.77</v>
      </c>
      <c r="D3">
        <v>72.81</v>
      </c>
      <c r="E3">
        <v>75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" x14ac:dyDescent="0.25"/>
  <sheetData>
    <row r="1" spans="1:4" x14ac:dyDescent="0.25">
      <c r="A1" s="1" t="s">
        <v>27</v>
      </c>
      <c r="B1" s="1" t="s">
        <v>58</v>
      </c>
      <c r="C1" s="1" t="s">
        <v>59</v>
      </c>
      <c r="D1" s="1" t="s">
        <v>41</v>
      </c>
    </row>
    <row r="2" spans="1:4" x14ac:dyDescent="0.25">
      <c r="A2">
        <v>1</v>
      </c>
      <c r="B2">
        <v>1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/>
  </sheetViews>
  <sheetFormatPr defaultRowHeight="14" x14ac:dyDescent="0.25"/>
  <sheetData>
    <row r="1" spans="1:3" x14ac:dyDescent="0.25">
      <c r="A1" s="1" t="s">
        <v>27</v>
      </c>
      <c r="B1" s="1" t="s">
        <v>58</v>
      </c>
      <c r="C1" s="1" t="s">
        <v>61</v>
      </c>
    </row>
    <row r="2" spans="1:3" x14ac:dyDescent="0.25">
      <c r="A2">
        <v>1</v>
      </c>
      <c r="B2">
        <v>6</v>
      </c>
      <c r="C2">
        <v>-20</v>
      </c>
    </row>
    <row r="3" spans="1:3" x14ac:dyDescent="0.25">
      <c r="A3">
        <v>2</v>
      </c>
      <c r="B3">
        <v>4</v>
      </c>
      <c r="C3">
        <v>-25</v>
      </c>
    </row>
    <row r="4" spans="1:3" x14ac:dyDescent="0.25">
      <c r="A4">
        <v>3</v>
      </c>
      <c r="B4">
        <v>5</v>
      </c>
      <c r="C4">
        <v>-20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"/>
  <sheetViews>
    <sheetView workbookViewId="0">
      <selection activeCell="E3" sqref="E3"/>
    </sheetView>
  </sheetViews>
  <sheetFormatPr defaultRowHeight="14" x14ac:dyDescent="0.25"/>
  <sheetData>
    <row r="1" spans="1:3" x14ac:dyDescent="0.25">
      <c r="A1" s="1" t="s">
        <v>81</v>
      </c>
      <c r="B1" s="1" t="s">
        <v>82</v>
      </c>
      <c r="C1" t="s">
        <v>182</v>
      </c>
    </row>
    <row r="2" spans="1:3" x14ac:dyDescent="0.25">
      <c r="A2">
        <v>5</v>
      </c>
      <c r="B2">
        <v>5</v>
      </c>
      <c r="C2" t="s">
        <v>183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"/>
  <sheetViews>
    <sheetView workbookViewId="0"/>
  </sheetViews>
  <sheetFormatPr defaultRowHeight="14" x14ac:dyDescent="0.25"/>
  <sheetData>
    <row r="1" spans="1:3" x14ac:dyDescent="0.25">
      <c r="A1" s="1" t="s">
        <v>53</v>
      </c>
      <c r="B1" s="1" t="s">
        <v>83</v>
      </c>
      <c r="C1" s="1" t="s">
        <v>84</v>
      </c>
    </row>
    <row r="2" spans="1:3" x14ac:dyDescent="0.25">
      <c r="A2" t="s">
        <v>85</v>
      </c>
    </row>
    <row r="3" spans="1:3" x14ac:dyDescent="0.25">
      <c r="A3" t="s">
        <v>86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"/>
  <sheetViews>
    <sheetView workbookViewId="0"/>
  </sheetViews>
  <sheetFormatPr defaultRowHeight="14" x14ac:dyDescent="0.25"/>
  <sheetData>
    <row r="1" spans="1:4" x14ac:dyDescent="0.25">
      <c r="A1" s="1" t="s">
        <v>53</v>
      </c>
      <c r="B1" s="1" t="s">
        <v>83</v>
      </c>
      <c r="C1" s="1" t="s">
        <v>84</v>
      </c>
      <c r="D1" s="1" t="s">
        <v>46</v>
      </c>
    </row>
    <row r="2" spans="1:4" x14ac:dyDescent="0.25">
      <c r="A2" t="s">
        <v>87</v>
      </c>
    </row>
    <row r="3" spans="1:4" x14ac:dyDescent="0.25">
      <c r="A3" t="s">
        <v>88</v>
      </c>
    </row>
    <row r="4" spans="1:4" x14ac:dyDescent="0.25">
      <c r="A4" t="s">
        <v>89</v>
      </c>
    </row>
    <row r="5" spans="1:4" x14ac:dyDescent="0.25">
      <c r="A5" t="s">
        <v>90</v>
      </c>
    </row>
    <row r="6" spans="1:4" x14ac:dyDescent="0.25">
      <c r="A6" t="s">
        <v>91</v>
      </c>
    </row>
    <row r="7" spans="1:4" x14ac:dyDescent="0.25">
      <c r="A7" t="s">
        <v>92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06"/>
  <sheetViews>
    <sheetView workbookViewId="0"/>
  </sheetViews>
  <sheetFormatPr defaultRowHeight="14" x14ac:dyDescent="0.25"/>
  <sheetData>
    <row r="1" spans="1:7" x14ac:dyDescent="0.25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x14ac:dyDescent="0.25">
      <c r="A2" t="s">
        <v>100</v>
      </c>
      <c r="B2" t="s">
        <v>0</v>
      </c>
      <c r="D2" t="s">
        <v>101</v>
      </c>
      <c r="E2" t="s">
        <v>102</v>
      </c>
    </row>
    <row r="3" spans="1:7" x14ac:dyDescent="0.25">
      <c r="A3" t="s">
        <v>103</v>
      </c>
      <c r="B3" t="s">
        <v>1</v>
      </c>
      <c r="D3" t="s">
        <v>101</v>
      </c>
      <c r="E3" t="s">
        <v>102</v>
      </c>
    </row>
    <row r="4" spans="1:7" x14ac:dyDescent="0.25">
      <c r="A4" t="s">
        <v>103</v>
      </c>
      <c r="B4" t="s">
        <v>2</v>
      </c>
      <c r="D4" t="s">
        <v>101</v>
      </c>
      <c r="E4" t="s">
        <v>102</v>
      </c>
    </row>
    <row r="5" spans="1:7" x14ac:dyDescent="0.25">
      <c r="A5" t="s">
        <v>103</v>
      </c>
      <c r="B5" t="s">
        <v>3</v>
      </c>
      <c r="C5" t="s">
        <v>104</v>
      </c>
      <c r="D5" t="s">
        <v>101</v>
      </c>
      <c r="E5" t="s">
        <v>102</v>
      </c>
    </row>
    <row r="6" spans="1:7" x14ac:dyDescent="0.25">
      <c r="A6" t="s">
        <v>103</v>
      </c>
      <c r="B6" t="s">
        <v>4</v>
      </c>
      <c r="C6" t="s">
        <v>105</v>
      </c>
      <c r="D6" t="s">
        <v>101</v>
      </c>
      <c r="E6" t="s">
        <v>102</v>
      </c>
    </row>
    <row r="7" spans="1:7" x14ac:dyDescent="0.25">
      <c r="A7" t="s">
        <v>103</v>
      </c>
      <c r="B7" t="s">
        <v>5</v>
      </c>
      <c r="D7" t="s">
        <v>101</v>
      </c>
      <c r="E7" t="s">
        <v>102</v>
      </c>
    </row>
    <row r="8" spans="1:7" x14ac:dyDescent="0.25">
      <c r="A8" t="s">
        <v>103</v>
      </c>
      <c r="B8" t="s">
        <v>6</v>
      </c>
      <c r="D8" t="s">
        <v>101</v>
      </c>
      <c r="E8" t="s">
        <v>102</v>
      </c>
    </row>
    <row r="9" spans="1:7" x14ac:dyDescent="0.25">
      <c r="A9" t="s">
        <v>103</v>
      </c>
      <c r="B9" t="s">
        <v>7</v>
      </c>
      <c r="D9" t="s">
        <v>101</v>
      </c>
      <c r="E9" t="s">
        <v>102</v>
      </c>
    </row>
    <row r="10" spans="1:7" x14ac:dyDescent="0.25">
      <c r="A10" t="s">
        <v>103</v>
      </c>
      <c r="B10" t="s">
        <v>8</v>
      </c>
      <c r="C10" t="s">
        <v>106</v>
      </c>
      <c r="D10" t="s">
        <v>101</v>
      </c>
      <c r="E10" t="s">
        <v>102</v>
      </c>
    </row>
    <row r="11" spans="1:7" x14ac:dyDescent="0.25">
      <c r="A11" t="s">
        <v>103</v>
      </c>
      <c r="B11" t="s">
        <v>9</v>
      </c>
      <c r="C11" t="s">
        <v>107</v>
      </c>
      <c r="D11" t="s">
        <v>101</v>
      </c>
      <c r="E11" t="s">
        <v>102</v>
      </c>
    </row>
    <row r="12" spans="1:7" x14ac:dyDescent="0.25">
      <c r="A12" t="s">
        <v>103</v>
      </c>
      <c r="B12" t="s">
        <v>10</v>
      </c>
      <c r="C12" t="s">
        <v>108</v>
      </c>
      <c r="D12" t="s">
        <v>101</v>
      </c>
      <c r="E12" t="s">
        <v>102</v>
      </c>
    </row>
    <row r="13" spans="1:7" x14ac:dyDescent="0.25">
      <c r="A13" t="s">
        <v>103</v>
      </c>
      <c r="B13" t="s">
        <v>11</v>
      </c>
      <c r="D13" t="s">
        <v>101</v>
      </c>
      <c r="E13" t="s">
        <v>102</v>
      </c>
    </row>
    <row r="14" spans="1:7" x14ac:dyDescent="0.25">
      <c r="A14" t="s">
        <v>103</v>
      </c>
      <c r="B14" t="s">
        <v>12</v>
      </c>
      <c r="D14" t="s">
        <v>101</v>
      </c>
      <c r="E14" t="s">
        <v>109</v>
      </c>
    </row>
    <row r="15" spans="1:7" x14ac:dyDescent="0.25">
      <c r="A15" t="s">
        <v>103</v>
      </c>
      <c r="B15" t="s">
        <v>13</v>
      </c>
      <c r="D15" t="s">
        <v>101</v>
      </c>
      <c r="E15" t="s">
        <v>109</v>
      </c>
    </row>
    <row r="16" spans="1:7" x14ac:dyDescent="0.25">
      <c r="A16" t="s">
        <v>110</v>
      </c>
      <c r="B16" t="s">
        <v>111</v>
      </c>
      <c r="D16" t="s">
        <v>101</v>
      </c>
      <c r="E16" t="s">
        <v>102</v>
      </c>
    </row>
    <row r="17" spans="1:5" x14ac:dyDescent="0.25">
      <c r="A17" t="s">
        <v>110</v>
      </c>
      <c r="B17" t="s">
        <v>112</v>
      </c>
      <c r="D17" t="s">
        <v>101</v>
      </c>
      <c r="E17" t="s">
        <v>102</v>
      </c>
    </row>
    <row r="18" spans="1:5" x14ac:dyDescent="0.25">
      <c r="A18" t="s">
        <v>110</v>
      </c>
      <c r="B18" t="s">
        <v>113</v>
      </c>
      <c r="D18" t="s">
        <v>101</v>
      </c>
      <c r="E18" t="s">
        <v>102</v>
      </c>
    </row>
    <row r="19" spans="1:5" x14ac:dyDescent="0.25">
      <c r="A19" t="s">
        <v>110</v>
      </c>
      <c r="B19" t="s">
        <v>114</v>
      </c>
      <c r="D19" t="s">
        <v>101</v>
      </c>
      <c r="E19" t="s">
        <v>102</v>
      </c>
    </row>
    <row r="20" spans="1:5" x14ac:dyDescent="0.25">
      <c r="A20" t="s">
        <v>110</v>
      </c>
      <c r="B20" t="s">
        <v>115</v>
      </c>
      <c r="D20" t="s">
        <v>101</v>
      </c>
      <c r="E20" t="s">
        <v>102</v>
      </c>
    </row>
    <row r="21" spans="1:5" x14ac:dyDescent="0.25">
      <c r="A21" t="s">
        <v>110</v>
      </c>
      <c r="B21" t="s">
        <v>116</v>
      </c>
      <c r="D21" t="s">
        <v>101</v>
      </c>
      <c r="E21" t="s">
        <v>102</v>
      </c>
    </row>
    <row r="22" spans="1:5" x14ac:dyDescent="0.25">
      <c r="A22" t="s">
        <v>110</v>
      </c>
      <c r="B22" t="s">
        <v>117</v>
      </c>
      <c r="D22" t="s">
        <v>101</v>
      </c>
      <c r="E22" t="s">
        <v>102</v>
      </c>
    </row>
    <row r="23" spans="1:5" x14ac:dyDescent="0.25">
      <c r="A23" t="s">
        <v>110</v>
      </c>
      <c r="B23" t="s">
        <v>118</v>
      </c>
      <c r="D23" t="s">
        <v>101</v>
      </c>
      <c r="E23" t="s">
        <v>102</v>
      </c>
    </row>
    <row r="24" spans="1:5" x14ac:dyDescent="0.25">
      <c r="A24" t="s">
        <v>110</v>
      </c>
      <c r="B24" t="s">
        <v>119</v>
      </c>
      <c r="D24" t="s">
        <v>101</v>
      </c>
      <c r="E24" t="s">
        <v>102</v>
      </c>
    </row>
    <row r="25" spans="1:5" x14ac:dyDescent="0.25">
      <c r="A25" t="s">
        <v>110</v>
      </c>
      <c r="B25" t="s">
        <v>120</v>
      </c>
      <c r="D25" t="s">
        <v>101</v>
      </c>
      <c r="E25" t="s">
        <v>102</v>
      </c>
    </row>
    <row r="26" spans="1:5" x14ac:dyDescent="0.25">
      <c r="A26" t="s">
        <v>121</v>
      </c>
      <c r="B26" t="s">
        <v>14</v>
      </c>
      <c r="D26" t="s">
        <v>101</v>
      </c>
      <c r="E26" t="s">
        <v>102</v>
      </c>
    </row>
    <row r="27" spans="1:5" x14ac:dyDescent="0.25">
      <c r="A27" t="s">
        <v>121</v>
      </c>
      <c r="B27" t="s">
        <v>15</v>
      </c>
      <c r="D27" t="s">
        <v>101</v>
      </c>
      <c r="E27" t="s">
        <v>102</v>
      </c>
    </row>
    <row r="28" spans="1:5" x14ac:dyDescent="0.25">
      <c r="A28" t="s">
        <v>121</v>
      </c>
      <c r="B28" t="s">
        <v>16</v>
      </c>
      <c r="C28" t="s">
        <v>106</v>
      </c>
      <c r="D28" t="s">
        <v>101</v>
      </c>
      <c r="E28" t="s">
        <v>109</v>
      </c>
    </row>
    <row r="29" spans="1:5" x14ac:dyDescent="0.25">
      <c r="A29" t="s">
        <v>121</v>
      </c>
      <c r="B29" t="s">
        <v>17</v>
      </c>
      <c r="C29" t="s">
        <v>106</v>
      </c>
      <c r="D29" t="s">
        <v>101</v>
      </c>
      <c r="E29" t="s">
        <v>109</v>
      </c>
    </row>
    <row r="30" spans="1:5" x14ac:dyDescent="0.25">
      <c r="A30" t="s">
        <v>121</v>
      </c>
      <c r="B30" t="s">
        <v>18</v>
      </c>
      <c r="C30" t="s">
        <v>106</v>
      </c>
      <c r="D30" t="s">
        <v>101</v>
      </c>
      <c r="E30" t="s">
        <v>109</v>
      </c>
    </row>
    <row r="31" spans="1:5" x14ac:dyDescent="0.25">
      <c r="A31" t="s">
        <v>121</v>
      </c>
      <c r="B31" t="s">
        <v>19</v>
      </c>
      <c r="C31" t="s">
        <v>122</v>
      </c>
      <c r="D31" t="s">
        <v>101</v>
      </c>
      <c r="E31" t="s">
        <v>102</v>
      </c>
    </row>
    <row r="32" spans="1:5" x14ac:dyDescent="0.25">
      <c r="A32" t="s">
        <v>121</v>
      </c>
      <c r="B32" t="s">
        <v>20</v>
      </c>
      <c r="C32" t="s">
        <v>122</v>
      </c>
      <c r="D32" t="s">
        <v>101</v>
      </c>
      <c r="E32" t="s">
        <v>102</v>
      </c>
    </row>
    <row r="33" spans="1:5" x14ac:dyDescent="0.25">
      <c r="A33" t="s">
        <v>121</v>
      </c>
      <c r="B33" t="s">
        <v>21</v>
      </c>
      <c r="C33" t="s">
        <v>122</v>
      </c>
      <c r="D33" t="s">
        <v>101</v>
      </c>
      <c r="E33" t="s">
        <v>102</v>
      </c>
    </row>
    <row r="34" spans="1:5" x14ac:dyDescent="0.25">
      <c r="A34" t="s">
        <v>121</v>
      </c>
      <c r="B34" t="s">
        <v>22</v>
      </c>
      <c r="D34" t="s">
        <v>101</v>
      </c>
      <c r="E34" t="s">
        <v>102</v>
      </c>
    </row>
    <row r="35" spans="1:5" x14ac:dyDescent="0.25">
      <c r="A35" t="s">
        <v>121</v>
      </c>
      <c r="B35" t="s">
        <v>23</v>
      </c>
      <c r="D35" t="s">
        <v>101</v>
      </c>
      <c r="E35" t="s">
        <v>102</v>
      </c>
    </row>
    <row r="36" spans="1:5" x14ac:dyDescent="0.25">
      <c r="A36" t="s">
        <v>121</v>
      </c>
      <c r="B36" t="s">
        <v>24</v>
      </c>
      <c r="D36" t="s">
        <v>101</v>
      </c>
      <c r="E36" t="s">
        <v>102</v>
      </c>
    </row>
    <row r="37" spans="1:5" x14ac:dyDescent="0.25">
      <c r="A37" t="s">
        <v>121</v>
      </c>
      <c r="B37" t="s">
        <v>25</v>
      </c>
      <c r="D37" t="s">
        <v>101</v>
      </c>
      <c r="E37" t="s">
        <v>102</v>
      </c>
    </row>
    <row r="38" spans="1:5" x14ac:dyDescent="0.25">
      <c r="A38" t="s">
        <v>121</v>
      </c>
      <c r="B38" t="s">
        <v>26</v>
      </c>
      <c r="D38" t="s">
        <v>101</v>
      </c>
      <c r="E38" t="s">
        <v>102</v>
      </c>
    </row>
    <row r="39" spans="1:5" x14ac:dyDescent="0.25">
      <c r="A39" t="s">
        <v>123</v>
      </c>
      <c r="B39" t="s">
        <v>41</v>
      </c>
      <c r="D39" t="s">
        <v>101</v>
      </c>
      <c r="E39" t="s">
        <v>109</v>
      </c>
    </row>
    <row r="40" spans="1:5" x14ac:dyDescent="0.25">
      <c r="A40" t="s">
        <v>124</v>
      </c>
      <c r="B40" t="s">
        <v>27</v>
      </c>
      <c r="D40" t="s">
        <v>101</v>
      </c>
      <c r="E40" t="s">
        <v>102</v>
      </c>
    </row>
    <row r="41" spans="1:5" x14ac:dyDescent="0.25">
      <c r="A41" t="s">
        <v>124</v>
      </c>
      <c r="B41" t="s">
        <v>42</v>
      </c>
      <c r="C41" t="s">
        <v>125</v>
      </c>
      <c r="D41" t="s">
        <v>101</v>
      </c>
      <c r="E41" t="s">
        <v>109</v>
      </c>
    </row>
    <row r="42" spans="1:5" x14ac:dyDescent="0.25">
      <c r="A42" t="s">
        <v>124</v>
      </c>
      <c r="B42" t="s">
        <v>43</v>
      </c>
      <c r="D42" t="s">
        <v>101</v>
      </c>
      <c r="E42" t="s">
        <v>102</v>
      </c>
    </row>
    <row r="43" spans="1:5" x14ac:dyDescent="0.25">
      <c r="A43" t="s">
        <v>124</v>
      </c>
      <c r="B43" t="s">
        <v>44</v>
      </c>
      <c r="D43" t="s">
        <v>101</v>
      </c>
      <c r="E43" t="s">
        <v>102</v>
      </c>
    </row>
    <row r="44" spans="1:5" x14ac:dyDescent="0.25">
      <c r="A44" t="s">
        <v>124</v>
      </c>
      <c r="B44" t="s">
        <v>45</v>
      </c>
      <c r="C44" t="s">
        <v>126</v>
      </c>
      <c r="D44" t="s">
        <v>101</v>
      </c>
      <c r="E44" t="s">
        <v>102</v>
      </c>
    </row>
    <row r="45" spans="1:5" x14ac:dyDescent="0.25">
      <c r="A45" t="s">
        <v>124</v>
      </c>
      <c r="B45" t="s">
        <v>46</v>
      </c>
      <c r="C45" t="s">
        <v>127</v>
      </c>
      <c r="D45" t="s">
        <v>101</v>
      </c>
      <c r="E45" t="s">
        <v>102</v>
      </c>
    </row>
    <row r="46" spans="1:5" x14ac:dyDescent="0.25">
      <c r="A46" t="s">
        <v>128</v>
      </c>
      <c r="B46" t="s">
        <v>27</v>
      </c>
      <c r="D46" t="s">
        <v>101</v>
      </c>
      <c r="E46" t="s">
        <v>102</v>
      </c>
    </row>
    <row r="47" spans="1:5" x14ac:dyDescent="0.25">
      <c r="A47" t="s">
        <v>128</v>
      </c>
      <c r="B47" t="s">
        <v>47</v>
      </c>
      <c r="D47" t="s">
        <v>101</v>
      </c>
      <c r="E47" t="s">
        <v>102</v>
      </c>
    </row>
    <row r="48" spans="1:5" x14ac:dyDescent="0.25">
      <c r="A48" t="s">
        <v>128</v>
      </c>
      <c r="B48" t="s">
        <v>48</v>
      </c>
      <c r="D48" t="s">
        <v>101</v>
      </c>
      <c r="E48" t="s">
        <v>102</v>
      </c>
    </row>
    <row r="49" spans="1:5" x14ac:dyDescent="0.25">
      <c r="A49" t="s">
        <v>128</v>
      </c>
      <c r="B49" t="s">
        <v>49</v>
      </c>
      <c r="C49" t="s">
        <v>126</v>
      </c>
      <c r="D49" t="s">
        <v>101</v>
      </c>
      <c r="E49" t="s">
        <v>102</v>
      </c>
    </row>
    <row r="50" spans="1:5" x14ac:dyDescent="0.25">
      <c r="A50" t="s">
        <v>128</v>
      </c>
      <c r="B50" t="s">
        <v>50</v>
      </c>
      <c r="C50" t="s">
        <v>129</v>
      </c>
      <c r="D50" t="s">
        <v>101</v>
      </c>
      <c r="E50" t="s">
        <v>109</v>
      </c>
    </row>
    <row r="51" spans="1:5" x14ac:dyDescent="0.25">
      <c r="A51" t="s">
        <v>128</v>
      </c>
      <c r="B51" t="s">
        <v>51</v>
      </c>
      <c r="C51" t="s">
        <v>126</v>
      </c>
      <c r="D51" t="s">
        <v>101</v>
      </c>
      <c r="E51" t="s">
        <v>102</v>
      </c>
    </row>
    <row r="52" spans="1:5" x14ac:dyDescent="0.25">
      <c r="A52" t="s">
        <v>128</v>
      </c>
      <c r="B52" t="s">
        <v>46</v>
      </c>
      <c r="C52" t="s">
        <v>127</v>
      </c>
      <c r="D52" t="s">
        <v>101</v>
      </c>
      <c r="E52" t="s">
        <v>102</v>
      </c>
    </row>
    <row r="53" spans="1:5" x14ac:dyDescent="0.25">
      <c r="A53" t="s">
        <v>130</v>
      </c>
      <c r="B53" t="s">
        <v>27</v>
      </c>
      <c r="D53" t="s">
        <v>101</v>
      </c>
      <c r="E53" t="s">
        <v>102</v>
      </c>
    </row>
    <row r="54" spans="1:5" x14ac:dyDescent="0.25">
      <c r="A54" t="s">
        <v>130</v>
      </c>
      <c r="B54" t="s">
        <v>52</v>
      </c>
      <c r="D54" t="s">
        <v>101</v>
      </c>
      <c r="E54" t="s">
        <v>102</v>
      </c>
    </row>
    <row r="55" spans="1:5" x14ac:dyDescent="0.25">
      <c r="A55" t="s">
        <v>130</v>
      </c>
      <c r="B55" t="s">
        <v>53</v>
      </c>
      <c r="D55" t="s">
        <v>101</v>
      </c>
      <c r="E55" t="s">
        <v>131</v>
      </c>
    </row>
    <row r="56" spans="1:5" x14ac:dyDescent="0.25">
      <c r="A56" t="s">
        <v>130</v>
      </c>
      <c r="B56" t="s">
        <v>54</v>
      </c>
      <c r="D56" t="s">
        <v>101</v>
      </c>
      <c r="E56" t="s">
        <v>109</v>
      </c>
    </row>
    <row r="57" spans="1:5" x14ac:dyDescent="0.25">
      <c r="A57" t="s">
        <v>130</v>
      </c>
      <c r="B57" t="s">
        <v>55</v>
      </c>
      <c r="D57" t="s">
        <v>101</v>
      </c>
      <c r="E57" t="s">
        <v>109</v>
      </c>
    </row>
    <row r="58" spans="1:5" x14ac:dyDescent="0.25">
      <c r="A58" t="s">
        <v>132</v>
      </c>
      <c r="B58" t="s">
        <v>27</v>
      </c>
      <c r="D58" t="s">
        <v>101</v>
      </c>
      <c r="E58" t="s">
        <v>102</v>
      </c>
    </row>
    <row r="59" spans="1:5" x14ac:dyDescent="0.25">
      <c r="A59" t="s">
        <v>132</v>
      </c>
      <c r="B59" t="s">
        <v>58</v>
      </c>
      <c r="D59" t="s">
        <v>101</v>
      </c>
      <c r="E59" t="s">
        <v>102</v>
      </c>
    </row>
    <row r="60" spans="1:5" x14ac:dyDescent="0.25">
      <c r="A60" t="s">
        <v>132</v>
      </c>
      <c r="B60" t="s">
        <v>59</v>
      </c>
      <c r="D60" t="s">
        <v>101</v>
      </c>
      <c r="E60" t="s">
        <v>109</v>
      </c>
    </row>
    <row r="61" spans="1:5" x14ac:dyDescent="0.25">
      <c r="A61" t="s">
        <v>132</v>
      </c>
      <c r="B61" t="s">
        <v>41</v>
      </c>
      <c r="D61" t="s">
        <v>101</v>
      </c>
      <c r="E61" t="s">
        <v>109</v>
      </c>
    </row>
    <row r="62" spans="1:5" x14ac:dyDescent="0.25">
      <c r="A62" t="s">
        <v>133</v>
      </c>
      <c r="B62" t="s">
        <v>27</v>
      </c>
      <c r="D62" t="s">
        <v>101</v>
      </c>
      <c r="E62" t="s">
        <v>102</v>
      </c>
    </row>
    <row r="63" spans="1:5" x14ac:dyDescent="0.25">
      <c r="A63" t="s">
        <v>133</v>
      </c>
      <c r="B63" t="s">
        <v>58</v>
      </c>
      <c r="D63" t="s">
        <v>101</v>
      </c>
      <c r="E63" t="s">
        <v>102</v>
      </c>
    </row>
    <row r="64" spans="1:5" x14ac:dyDescent="0.25">
      <c r="A64" t="s">
        <v>133</v>
      </c>
      <c r="B64" t="s">
        <v>61</v>
      </c>
      <c r="D64" t="s">
        <v>101</v>
      </c>
      <c r="E64" t="s">
        <v>109</v>
      </c>
    </row>
    <row r="65" spans="1:5" x14ac:dyDescent="0.25">
      <c r="A65" t="s">
        <v>134</v>
      </c>
      <c r="B65" t="s">
        <v>27</v>
      </c>
      <c r="D65" t="s">
        <v>101</v>
      </c>
      <c r="E65" t="s">
        <v>102</v>
      </c>
    </row>
    <row r="66" spans="1:5" x14ac:dyDescent="0.25">
      <c r="A66" t="s">
        <v>134</v>
      </c>
      <c r="B66" t="s">
        <v>53</v>
      </c>
      <c r="D66" t="s">
        <v>101</v>
      </c>
      <c r="E66" t="s">
        <v>131</v>
      </c>
    </row>
    <row r="67" spans="1:5" x14ac:dyDescent="0.25">
      <c r="A67" t="s">
        <v>134</v>
      </c>
      <c r="B67" t="s">
        <v>42</v>
      </c>
      <c r="D67" t="s">
        <v>101</v>
      </c>
      <c r="E67" t="s">
        <v>102</v>
      </c>
    </row>
    <row r="68" spans="1:5" x14ac:dyDescent="0.25">
      <c r="A68" t="s">
        <v>134</v>
      </c>
      <c r="B68" t="s">
        <v>45</v>
      </c>
      <c r="D68" t="s">
        <v>101</v>
      </c>
      <c r="E68" t="s">
        <v>102</v>
      </c>
    </row>
    <row r="69" spans="1:5" x14ac:dyDescent="0.25">
      <c r="A69" t="s">
        <v>134</v>
      </c>
      <c r="B69" t="s">
        <v>62</v>
      </c>
      <c r="C69" t="s">
        <v>135</v>
      </c>
      <c r="D69" t="s">
        <v>101</v>
      </c>
      <c r="E69" t="s">
        <v>102</v>
      </c>
    </row>
    <row r="70" spans="1:5" x14ac:dyDescent="0.25">
      <c r="A70" t="s">
        <v>136</v>
      </c>
      <c r="B70" t="s">
        <v>27</v>
      </c>
      <c r="D70" t="s">
        <v>101</v>
      </c>
      <c r="E70" t="s">
        <v>102</v>
      </c>
    </row>
    <row r="71" spans="1:5" x14ac:dyDescent="0.25">
      <c r="A71" t="s">
        <v>136</v>
      </c>
      <c r="B71" t="s">
        <v>47</v>
      </c>
      <c r="D71" t="s">
        <v>101</v>
      </c>
      <c r="E71" t="s">
        <v>102</v>
      </c>
    </row>
    <row r="72" spans="1:5" x14ac:dyDescent="0.25">
      <c r="A72" t="s">
        <v>136</v>
      </c>
      <c r="B72" t="s">
        <v>48</v>
      </c>
      <c r="D72" t="s">
        <v>101</v>
      </c>
      <c r="E72" t="s">
        <v>102</v>
      </c>
    </row>
    <row r="73" spans="1:5" x14ac:dyDescent="0.25">
      <c r="A73" t="s">
        <v>136</v>
      </c>
      <c r="B73" t="s">
        <v>65</v>
      </c>
      <c r="D73" t="s">
        <v>101</v>
      </c>
      <c r="E73" t="s">
        <v>102</v>
      </c>
    </row>
    <row r="74" spans="1:5" x14ac:dyDescent="0.25">
      <c r="A74" t="s">
        <v>136</v>
      </c>
      <c r="B74" t="s">
        <v>66</v>
      </c>
      <c r="D74" t="s">
        <v>101</v>
      </c>
      <c r="E74" t="s">
        <v>109</v>
      </c>
    </row>
    <row r="75" spans="1:5" x14ac:dyDescent="0.25">
      <c r="A75" t="s">
        <v>136</v>
      </c>
      <c r="B75" t="s">
        <v>67</v>
      </c>
      <c r="D75" t="s">
        <v>101</v>
      </c>
      <c r="E75" t="s">
        <v>109</v>
      </c>
    </row>
    <row r="76" spans="1:5" x14ac:dyDescent="0.25">
      <c r="A76" t="s">
        <v>136</v>
      </c>
      <c r="B76" t="s">
        <v>68</v>
      </c>
      <c r="D76" t="s">
        <v>101</v>
      </c>
      <c r="E76" t="s">
        <v>102</v>
      </c>
    </row>
    <row r="77" spans="1:5" x14ac:dyDescent="0.25">
      <c r="A77" t="s">
        <v>136</v>
      </c>
      <c r="B77" t="s">
        <v>69</v>
      </c>
      <c r="D77" t="s">
        <v>101</v>
      </c>
      <c r="E77" t="s">
        <v>109</v>
      </c>
    </row>
    <row r="78" spans="1:5" x14ac:dyDescent="0.25">
      <c r="A78" t="s">
        <v>136</v>
      </c>
      <c r="B78" t="s">
        <v>70</v>
      </c>
      <c r="D78" t="s">
        <v>101</v>
      </c>
      <c r="E78" t="s">
        <v>102</v>
      </c>
    </row>
    <row r="79" spans="1:5" x14ac:dyDescent="0.25">
      <c r="A79" t="s">
        <v>136</v>
      </c>
      <c r="B79" t="s">
        <v>71</v>
      </c>
      <c r="D79" t="s">
        <v>101</v>
      </c>
      <c r="E79" t="s">
        <v>102</v>
      </c>
    </row>
    <row r="80" spans="1:5" x14ac:dyDescent="0.25">
      <c r="A80" t="s">
        <v>136</v>
      </c>
      <c r="B80" t="s">
        <v>72</v>
      </c>
      <c r="C80" t="s">
        <v>137</v>
      </c>
      <c r="D80" t="s">
        <v>101</v>
      </c>
      <c r="E80" t="s">
        <v>102</v>
      </c>
    </row>
    <row r="81" spans="1:5" x14ac:dyDescent="0.25">
      <c r="A81" t="s">
        <v>136</v>
      </c>
      <c r="B81" t="s">
        <v>73</v>
      </c>
      <c r="C81" t="s">
        <v>135</v>
      </c>
      <c r="D81" t="s">
        <v>101</v>
      </c>
      <c r="E81" t="s">
        <v>102</v>
      </c>
    </row>
    <row r="82" spans="1:5" x14ac:dyDescent="0.25">
      <c r="A82" t="s">
        <v>136</v>
      </c>
      <c r="B82" t="s">
        <v>74</v>
      </c>
      <c r="C82" t="s">
        <v>135</v>
      </c>
      <c r="D82" t="s">
        <v>101</v>
      </c>
      <c r="E82" t="s">
        <v>102</v>
      </c>
    </row>
    <row r="83" spans="1:5" x14ac:dyDescent="0.25">
      <c r="A83" t="s">
        <v>136</v>
      </c>
      <c r="B83" t="s">
        <v>75</v>
      </c>
      <c r="C83" t="s">
        <v>138</v>
      </c>
      <c r="D83" t="s">
        <v>101</v>
      </c>
      <c r="E83" t="s">
        <v>102</v>
      </c>
    </row>
    <row r="84" spans="1:5" x14ac:dyDescent="0.25">
      <c r="A84" t="s">
        <v>139</v>
      </c>
      <c r="B84" t="s">
        <v>27</v>
      </c>
      <c r="D84" t="s">
        <v>101</v>
      </c>
      <c r="E84" t="s">
        <v>102</v>
      </c>
    </row>
    <row r="85" spans="1:5" x14ac:dyDescent="0.25">
      <c r="A85" t="s">
        <v>139</v>
      </c>
      <c r="B85" t="s">
        <v>76</v>
      </c>
      <c r="D85" t="s">
        <v>101</v>
      </c>
      <c r="E85" t="s">
        <v>109</v>
      </c>
    </row>
    <row r="86" spans="1:5" x14ac:dyDescent="0.25">
      <c r="A86" t="s">
        <v>140</v>
      </c>
      <c r="B86" t="s">
        <v>27</v>
      </c>
      <c r="D86" t="s">
        <v>101</v>
      </c>
      <c r="E86" t="s">
        <v>102</v>
      </c>
    </row>
    <row r="87" spans="1:5" x14ac:dyDescent="0.25">
      <c r="A87" t="s">
        <v>140</v>
      </c>
      <c r="B87" t="s">
        <v>77</v>
      </c>
      <c r="D87" t="s">
        <v>101</v>
      </c>
      <c r="E87" t="s">
        <v>109</v>
      </c>
    </row>
    <row r="88" spans="1:5" x14ac:dyDescent="0.25">
      <c r="A88" t="s">
        <v>140</v>
      </c>
      <c r="B88" t="s">
        <v>78</v>
      </c>
      <c r="D88" t="s">
        <v>101</v>
      </c>
      <c r="E88" t="s">
        <v>109</v>
      </c>
    </row>
    <row r="89" spans="1:5" x14ac:dyDescent="0.25">
      <c r="A89" t="s">
        <v>140</v>
      </c>
      <c r="B89" t="s">
        <v>79</v>
      </c>
      <c r="D89" t="s">
        <v>101</v>
      </c>
      <c r="E89" t="s">
        <v>109</v>
      </c>
    </row>
    <row r="90" spans="1:5" x14ac:dyDescent="0.25">
      <c r="A90" t="s">
        <v>140</v>
      </c>
      <c r="B90" t="s">
        <v>80</v>
      </c>
      <c r="D90" t="s">
        <v>101</v>
      </c>
      <c r="E90" t="s">
        <v>102</v>
      </c>
    </row>
    <row r="91" spans="1:5" x14ac:dyDescent="0.25">
      <c r="A91" t="s">
        <v>141</v>
      </c>
      <c r="B91" t="s">
        <v>27</v>
      </c>
      <c r="D91" t="s">
        <v>101</v>
      </c>
      <c r="E91" t="s">
        <v>102</v>
      </c>
    </row>
    <row r="92" spans="1:5" x14ac:dyDescent="0.25">
      <c r="A92" t="s">
        <v>141</v>
      </c>
      <c r="B92" t="s">
        <v>58</v>
      </c>
      <c r="D92" t="s">
        <v>101</v>
      </c>
      <c r="E92" t="s">
        <v>102</v>
      </c>
    </row>
    <row r="93" spans="1:5" x14ac:dyDescent="0.25">
      <c r="A93" t="s">
        <v>141</v>
      </c>
      <c r="B93" t="s">
        <v>59</v>
      </c>
      <c r="D93" t="s">
        <v>101</v>
      </c>
      <c r="E93" t="s">
        <v>109</v>
      </c>
    </row>
    <row r="94" spans="1:5" x14ac:dyDescent="0.25">
      <c r="A94" t="s">
        <v>141</v>
      </c>
      <c r="B94" t="s">
        <v>41</v>
      </c>
      <c r="D94" t="s">
        <v>101</v>
      </c>
      <c r="E94" t="s">
        <v>109</v>
      </c>
    </row>
    <row r="95" spans="1:5" x14ac:dyDescent="0.25">
      <c r="A95" t="s">
        <v>142</v>
      </c>
      <c r="B95" t="s">
        <v>27</v>
      </c>
      <c r="D95" t="s">
        <v>101</v>
      </c>
      <c r="E95" t="s">
        <v>102</v>
      </c>
    </row>
    <row r="96" spans="1:5" x14ac:dyDescent="0.25">
      <c r="A96" t="s">
        <v>142</v>
      </c>
      <c r="B96" t="s">
        <v>58</v>
      </c>
      <c r="D96" t="s">
        <v>101</v>
      </c>
      <c r="E96" t="s">
        <v>102</v>
      </c>
    </row>
    <row r="97" spans="1:5" x14ac:dyDescent="0.25">
      <c r="A97" t="s">
        <v>142</v>
      </c>
      <c r="B97" t="s">
        <v>61</v>
      </c>
      <c r="D97" t="s">
        <v>101</v>
      </c>
      <c r="E97" t="s">
        <v>102</v>
      </c>
    </row>
    <row r="98" spans="1:5" x14ac:dyDescent="0.25">
      <c r="A98" t="s">
        <v>143</v>
      </c>
      <c r="B98" t="s">
        <v>81</v>
      </c>
      <c r="D98" t="s">
        <v>101</v>
      </c>
      <c r="E98" t="s">
        <v>102</v>
      </c>
    </row>
    <row r="99" spans="1:5" x14ac:dyDescent="0.25">
      <c r="A99" t="s">
        <v>143</v>
      </c>
      <c r="B99" t="s">
        <v>82</v>
      </c>
      <c r="D99" t="s">
        <v>101</v>
      </c>
      <c r="E99" t="s">
        <v>102</v>
      </c>
    </row>
    <row r="100" spans="1:5" x14ac:dyDescent="0.25">
      <c r="A100" t="s">
        <v>144</v>
      </c>
      <c r="B100" t="s">
        <v>53</v>
      </c>
      <c r="D100" t="s">
        <v>101</v>
      </c>
      <c r="E100" t="s">
        <v>131</v>
      </c>
    </row>
    <row r="101" spans="1:5" x14ac:dyDescent="0.25">
      <c r="A101" t="s">
        <v>144</v>
      </c>
      <c r="B101" t="s">
        <v>83</v>
      </c>
      <c r="C101" t="s">
        <v>104</v>
      </c>
      <c r="D101" t="s">
        <v>101</v>
      </c>
      <c r="E101" t="s">
        <v>109</v>
      </c>
    </row>
    <row r="102" spans="1:5" x14ac:dyDescent="0.25">
      <c r="A102" t="s">
        <v>144</v>
      </c>
      <c r="B102" t="s">
        <v>84</v>
      </c>
      <c r="C102" t="s">
        <v>145</v>
      </c>
      <c r="D102" t="s">
        <v>101</v>
      </c>
      <c r="E102" t="s">
        <v>109</v>
      </c>
    </row>
    <row r="103" spans="1:5" x14ac:dyDescent="0.25">
      <c r="A103" t="s">
        <v>146</v>
      </c>
      <c r="B103" t="s">
        <v>53</v>
      </c>
      <c r="D103" t="s">
        <v>101</v>
      </c>
      <c r="E103" t="s">
        <v>131</v>
      </c>
    </row>
    <row r="104" spans="1:5" x14ac:dyDescent="0.25">
      <c r="A104" t="s">
        <v>146</v>
      </c>
      <c r="B104" t="s">
        <v>83</v>
      </c>
      <c r="C104" t="s">
        <v>104</v>
      </c>
      <c r="D104" t="s">
        <v>101</v>
      </c>
      <c r="E104" t="s">
        <v>109</v>
      </c>
    </row>
    <row r="105" spans="1:5" x14ac:dyDescent="0.25">
      <c r="A105" t="s">
        <v>146</v>
      </c>
      <c r="B105" t="s">
        <v>84</v>
      </c>
      <c r="C105" t="s">
        <v>145</v>
      </c>
      <c r="D105" t="s">
        <v>101</v>
      </c>
      <c r="E105" t="s">
        <v>109</v>
      </c>
    </row>
    <row r="106" spans="1:5" x14ac:dyDescent="0.25">
      <c r="A106" t="s">
        <v>146</v>
      </c>
      <c r="B106" t="s">
        <v>46</v>
      </c>
      <c r="C106" t="s">
        <v>127</v>
      </c>
      <c r="D106" t="s">
        <v>101</v>
      </c>
      <c r="E106" t="s">
        <v>109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7"/>
  <sheetViews>
    <sheetView workbookViewId="0">
      <selection activeCell="D10" sqref="D10"/>
    </sheetView>
  </sheetViews>
  <sheetFormatPr defaultRowHeight="14" x14ac:dyDescent="0.25"/>
  <sheetData>
    <row r="1" spans="1:25" x14ac:dyDescent="0.25">
      <c r="A1" s="1" t="s">
        <v>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>
        <v>1</v>
      </c>
      <c r="B2">
        <v>2.6396099999999998</v>
      </c>
      <c r="C2">
        <v>2.4454199999999999</v>
      </c>
      <c r="D2">
        <v>2.61416</v>
      </c>
      <c r="E2">
        <v>2.5382699999999998</v>
      </c>
      <c r="F2">
        <v>2.0756299999999999</v>
      </c>
      <c r="G2">
        <v>2.0149599999999999</v>
      </c>
      <c r="H2">
        <v>2.0127799999999998</v>
      </c>
      <c r="I2">
        <v>1.8155399999999999</v>
      </c>
      <c r="J2">
        <v>1.6985699999999999</v>
      </c>
      <c r="K2">
        <v>1.5085299999999999</v>
      </c>
      <c r="L2">
        <v>1.54548</v>
      </c>
      <c r="M2">
        <v>1.4756899999999999</v>
      </c>
      <c r="N2">
        <v>1.40462</v>
      </c>
      <c r="O2">
        <v>1.5004999999999999</v>
      </c>
      <c r="P2">
        <v>1.5149900000000001</v>
      </c>
      <c r="Q2">
        <v>1.50804</v>
      </c>
      <c r="R2">
        <v>1.7313400000000001</v>
      </c>
      <c r="S2">
        <v>1.75627</v>
      </c>
      <c r="T2">
        <v>2.08785</v>
      </c>
      <c r="U2">
        <v>2.1499100000000002</v>
      </c>
      <c r="V2">
        <v>2.27874</v>
      </c>
      <c r="W2">
        <v>2.3417300000000001</v>
      </c>
      <c r="X2">
        <v>2.6736300000000002</v>
      </c>
      <c r="Y2">
        <v>2.5596199999999998</v>
      </c>
    </row>
    <row r="3" spans="1:25" x14ac:dyDescent="0.25">
      <c r="A3">
        <v>2</v>
      </c>
      <c r="B3">
        <v>4.0323899999999986</v>
      </c>
      <c r="C3">
        <v>3.8824100000000001</v>
      </c>
      <c r="D3">
        <v>3.83406</v>
      </c>
      <c r="E3">
        <v>3.7511800000000002</v>
      </c>
      <c r="F3">
        <v>3.1986400000000001</v>
      </c>
      <c r="G3">
        <v>3.18126</v>
      </c>
      <c r="H3">
        <v>2.92944</v>
      </c>
      <c r="I3">
        <v>2.6786699999999999</v>
      </c>
      <c r="J3">
        <v>2.51492</v>
      </c>
      <c r="K3">
        <v>2.5402800000000001</v>
      </c>
      <c r="L3">
        <v>2.1244399999999999</v>
      </c>
      <c r="M3">
        <v>2.2338200000000001</v>
      </c>
      <c r="N3">
        <v>1.9233</v>
      </c>
      <c r="O3">
        <v>2.0949900000000001</v>
      </c>
      <c r="P3">
        <v>2.2386499999999998</v>
      </c>
      <c r="Q3">
        <v>2.4328799999999999</v>
      </c>
      <c r="R3">
        <v>2.6406800000000001</v>
      </c>
      <c r="S3">
        <v>2.8768199999999999</v>
      </c>
      <c r="T3">
        <v>2.9476900000000001</v>
      </c>
      <c r="U3">
        <v>3.1581999999999999</v>
      </c>
      <c r="V3">
        <v>3.5979999999999999</v>
      </c>
      <c r="W3">
        <v>3.60161</v>
      </c>
      <c r="X3">
        <v>3.5383499999999999</v>
      </c>
      <c r="Y3">
        <v>3.65008</v>
      </c>
    </row>
    <row r="4" spans="1:25" x14ac:dyDescent="0.25">
      <c r="A4">
        <v>3</v>
      </c>
      <c r="B4">
        <v>3.39927</v>
      </c>
      <c r="C4">
        <v>3.4313099999999999</v>
      </c>
      <c r="D4">
        <v>3.5979700000000001</v>
      </c>
      <c r="E4">
        <v>3.24031</v>
      </c>
      <c r="F4">
        <v>3.1591200000000002</v>
      </c>
      <c r="G4">
        <v>3.2134200000000002</v>
      </c>
      <c r="H4">
        <v>2.7501199999999999</v>
      </c>
      <c r="I4">
        <v>2.6778300000000002</v>
      </c>
      <c r="J4">
        <v>2.2688999999999999</v>
      </c>
      <c r="K4">
        <v>2.18337</v>
      </c>
      <c r="L4">
        <v>1.9740899999999999</v>
      </c>
      <c r="M4">
        <v>1.9549099999999999</v>
      </c>
      <c r="N4">
        <v>2.0423499999999999</v>
      </c>
      <c r="O4">
        <v>1.81687</v>
      </c>
      <c r="P4">
        <v>2.1175600000000001</v>
      </c>
      <c r="Q4">
        <v>2.2322500000000001</v>
      </c>
      <c r="R4">
        <v>2.3092999999999999</v>
      </c>
      <c r="S4">
        <v>2.3958599999999999</v>
      </c>
      <c r="T4">
        <v>2.8100999999999998</v>
      </c>
      <c r="U4">
        <v>2.9375200000000001</v>
      </c>
      <c r="V4">
        <v>3.25746</v>
      </c>
      <c r="W4">
        <v>3.3976799999999998</v>
      </c>
      <c r="X4">
        <v>3.8099699999999999</v>
      </c>
      <c r="Y4">
        <v>3.5681600000000002</v>
      </c>
    </row>
    <row r="5" spans="1:25" x14ac:dyDescent="0.25">
      <c r="A5">
        <v>4</v>
      </c>
      <c r="B5">
        <v>1.24716</v>
      </c>
      <c r="C5">
        <v>1.2629900000000001</v>
      </c>
      <c r="D5">
        <v>1.2212499999999999</v>
      </c>
      <c r="E5">
        <v>1.2036</v>
      </c>
      <c r="F5">
        <v>1.21129</v>
      </c>
      <c r="G5">
        <v>1.0861099999999999</v>
      </c>
      <c r="H5">
        <v>0.99207000000000001</v>
      </c>
      <c r="I5">
        <v>0.87459000000000009</v>
      </c>
      <c r="J5">
        <v>0.77883000000000002</v>
      </c>
      <c r="K5">
        <v>0.76871</v>
      </c>
      <c r="L5">
        <v>0.73819999999999997</v>
      </c>
      <c r="M5">
        <v>0.77300000000000002</v>
      </c>
      <c r="N5">
        <v>0.70456000000000008</v>
      </c>
      <c r="O5">
        <v>0.74512</v>
      </c>
      <c r="P5">
        <v>0.72171000000000007</v>
      </c>
      <c r="Q5">
        <v>0.74119000000000002</v>
      </c>
      <c r="R5">
        <v>0.80898000000000003</v>
      </c>
      <c r="S5">
        <v>0.88891000000000009</v>
      </c>
      <c r="T5">
        <v>1.10642</v>
      </c>
      <c r="U5">
        <v>1.03339</v>
      </c>
      <c r="V5">
        <v>1.19821</v>
      </c>
      <c r="W5">
        <v>1.15741</v>
      </c>
      <c r="X5">
        <v>1.3184899999999999</v>
      </c>
      <c r="Y5">
        <v>1.3146</v>
      </c>
    </row>
    <row r="6" spans="1:25" s="3" customFormat="1" x14ac:dyDescent="0.25">
      <c r="A6" s="3">
        <v>5</v>
      </c>
      <c r="B6" s="3">
        <v>3.5702600000000002</v>
      </c>
      <c r="C6" s="3">
        <v>3.87527</v>
      </c>
      <c r="D6" s="3">
        <v>3.3322099999999999</v>
      </c>
      <c r="E6" s="3">
        <v>3.24214</v>
      </c>
      <c r="F6" s="3">
        <v>3.3235800000000002</v>
      </c>
      <c r="G6" s="3">
        <v>2.9578700000000002</v>
      </c>
      <c r="H6" s="3">
        <v>2.79928</v>
      </c>
      <c r="I6" s="3">
        <v>2.56149</v>
      </c>
      <c r="J6" s="3">
        <v>2.4201700000000002</v>
      </c>
      <c r="K6" s="3">
        <v>2.3612799999999998</v>
      </c>
      <c r="L6" s="3">
        <v>2.0819299999999998</v>
      </c>
      <c r="M6" s="3">
        <v>2.0526499999999999</v>
      </c>
      <c r="N6" s="3">
        <v>1.75908</v>
      </c>
      <c r="O6" s="3">
        <v>1.9837800000000001</v>
      </c>
      <c r="P6" s="3">
        <v>1.98516</v>
      </c>
      <c r="Q6" s="3">
        <v>2.07159</v>
      </c>
      <c r="R6" s="3">
        <v>2.2755000000000001</v>
      </c>
      <c r="S6" s="3">
        <v>2.53945</v>
      </c>
      <c r="T6" s="3">
        <v>2.9282300000000001</v>
      </c>
      <c r="U6" s="3">
        <v>2.8172899999999998</v>
      </c>
      <c r="V6" s="3">
        <v>3.2249300000000001</v>
      </c>
      <c r="W6" s="3">
        <v>3.3118099999999999</v>
      </c>
      <c r="X6" s="3">
        <v>3.4696699999999998</v>
      </c>
      <c r="Y6" s="3">
        <v>3.79244</v>
      </c>
    </row>
    <row r="7" spans="1:25" x14ac:dyDescent="0.25">
      <c r="A7">
        <v>6</v>
      </c>
      <c r="B7">
        <v>2.4860099999999998</v>
      </c>
      <c r="C7">
        <v>2.5674000000000001</v>
      </c>
      <c r="D7">
        <v>2.2981799999999999</v>
      </c>
      <c r="E7">
        <v>2.2464400000000002</v>
      </c>
      <c r="F7">
        <v>2.5448599999999999</v>
      </c>
      <c r="G7">
        <v>2.0165500000000001</v>
      </c>
      <c r="H7">
        <v>1.89032</v>
      </c>
      <c r="I7">
        <v>2.0141399999999998</v>
      </c>
      <c r="J7">
        <v>1.94693</v>
      </c>
      <c r="K7">
        <v>1.48343</v>
      </c>
      <c r="L7">
        <v>1.45313</v>
      </c>
      <c r="M7">
        <v>1.4447000000000001</v>
      </c>
      <c r="N7">
        <v>1.52101</v>
      </c>
      <c r="O7">
        <v>1.35036</v>
      </c>
      <c r="P7">
        <v>1.4622299999999999</v>
      </c>
      <c r="Q7">
        <v>1.6369800000000001</v>
      </c>
      <c r="R7">
        <v>1.7369600000000001</v>
      </c>
      <c r="S7">
        <v>1.8100099999999999</v>
      </c>
      <c r="T7">
        <v>1.9866200000000001</v>
      </c>
      <c r="U7">
        <v>2.0071300000000001</v>
      </c>
      <c r="V7">
        <v>2.2726099999999998</v>
      </c>
      <c r="W7">
        <v>2.3919700000000002</v>
      </c>
      <c r="X7">
        <v>2.5488599999999999</v>
      </c>
      <c r="Y7">
        <v>2.50793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7"/>
  <sheetViews>
    <sheetView workbookViewId="0"/>
  </sheetViews>
  <sheetFormatPr defaultRowHeight="14" x14ac:dyDescent="0.25"/>
  <sheetData>
    <row r="1" spans="1:25" x14ac:dyDescent="0.25">
      <c r="A1" s="1" t="s">
        <v>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>
        <v>1</v>
      </c>
      <c r="B2">
        <v>1E-3</v>
      </c>
      <c r="C2">
        <v>1E-3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1E-3</v>
      </c>
      <c r="J2">
        <v>1E-3</v>
      </c>
      <c r="K2">
        <v>1E-3</v>
      </c>
      <c r="L2">
        <v>1E-3</v>
      </c>
      <c r="M2">
        <v>1E-3</v>
      </c>
      <c r="N2">
        <v>1E-3</v>
      </c>
      <c r="O2">
        <v>1E-3</v>
      </c>
      <c r="P2">
        <v>1E-3</v>
      </c>
      <c r="Q2">
        <v>1E-3</v>
      </c>
      <c r="R2">
        <v>1E-3</v>
      </c>
      <c r="S2">
        <v>1E-3</v>
      </c>
      <c r="T2">
        <v>1E-3</v>
      </c>
      <c r="U2">
        <v>1E-3</v>
      </c>
      <c r="V2">
        <v>1E-3</v>
      </c>
      <c r="W2">
        <v>1E-3</v>
      </c>
      <c r="X2">
        <v>1E-3</v>
      </c>
      <c r="Y2">
        <v>1E-3</v>
      </c>
    </row>
    <row r="3" spans="1:25" x14ac:dyDescent="0.25">
      <c r="A3">
        <v>2</v>
      </c>
      <c r="B3">
        <v>1E-3</v>
      </c>
      <c r="C3">
        <v>1E-3</v>
      </c>
      <c r="D3">
        <v>1E-3</v>
      </c>
      <c r="E3">
        <v>1E-3</v>
      </c>
      <c r="F3">
        <v>1E-3</v>
      </c>
      <c r="G3">
        <v>1E-3</v>
      </c>
      <c r="H3">
        <v>1E-3</v>
      </c>
      <c r="I3">
        <v>1E-3</v>
      </c>
      <c r="J3">
        <v>1E-3</v>
      </c>
      <c r="K3">
        <v>1E-3</v>
      </c>
      <c r="L3">
        <v>1E-3</v>
      </c>
      <c r="M3">
        <v>1E-3</v>
      </c>
      <c r="N3">
        <v>1E-3</v>
      </c>
      <c r="O3">
        <v>1E-3</v>
      </c>
      <c r="P3">
        <v>1E-3</v>
      </c>
      <c r="Q3">
        <v>1E-3</v>
      </c>
      <c r="R3">
        <v>1E-3</v>
      </c>
      <c r="S3">
        <v>1E-3</v>
      </c>
      <c r="T3">
        <v>1E-3</v>
      </c>
      <c r="U3">
        <v>1E-3</v>
      </c>
      <c r="V3">
        <v>1E-3</v>
      </c>
      <c r="W3">
        <v>1E-3</v>
      </c>
      <c r="X3">
        <v>1E-3</v>
      </c>
      <c r="Y3">
        <v>1E-3</v>
      </c>
    </row>
    <row r="4" spans="1:25" x14ac:dyDescent="0.25">
      <c r="A4">
        <v>3</v>
      </c>
      <c r="B4">
        <v>1E-3</v>
      </c>
      <c r="C4">
        <v>1E-3</v>
      </c>
      <c r="D4">
        <v>1E-3</v>
      </c>
      <c r="E4">
        <v>1E-3</v>
      </c>
      <c r="F4">
        <v>1E-3</v>
      </c>
      <c r="G4">
        <v>1E-3</v>
      </c>
      <c r="H4">
        <v>1E-3</v>
      </c>
      <c r="I4">
        <v>1E-3</v>
      </c>
      <c r="J4">
        <v>1E-3</v>
      </c>
      <c r="K4">
        <v>1E-3</v>
      </c>
      <c r="L4">
        <v>1E-3</v>
      </c>
      <c r="M4">
        <v>1E-3</v>
      </c>
      <c r="N4">
        <v>1E-3</v>
      </c>
      <c r="O4">
        <v>1E-3</v>
      </c>
      <c r="P4">
        <v>1E-3</v>
      </c>
      <c r="Q4">
        <v>1E-3</v>
      </c>
      <c r="R4">
        <v>1E-3</v>
      </c>
      <c r="S4">
        <v>1E-3</v>
      </c>
      <c r="T4">
        <v>1E-3</v>
      </c>
      <c r="U4">
        <v>1E-3</v>
      </c>
      <c r="V4">
        <v>1E-3</v>
      </c>
      <c r="W4">
        <v>1E-3</v>
      </c>
      <c r="X4">
        <v>1E-3</v>
      </c>
      <c r="Y4">
        <v>1E-3</v>
      </c>
    </row>
    <row r="5" spans="1:25" x14ac:dyDescent="0.25">
      <c r="A5">
        <v>4</v>
      </c>
      <c r="B5">
        <v>0.62011000000000005</v>
      </c>
      <c r="C5">
        <v>0.61948000000000003</v>
      </c>
      <c r="D5">
        <v>0.58834000000000009</v>
      </c>
      <c r="E5">
        <v>0.6015100000000001</v>
      </c>
      <c r="F5">
        <v>0.54969999999999997</v>
      </c>
      <c r="G5">
        <v>0.49973000000000001</v>
      </c>
      <c r="H5">
        <v>0.46805000000000002</v>
      </c>
      <c r="I5">
        <v>0.47167999999999999</v>
      </c>
      <c r="J5">
        <v>0.47204000000000002</v>
      </c>
      <c r="K5">
        <v>0.41489999999999999</v>
      </c>
      <c r="L5">
        <v>0.38941999999999999</v>
      </c>
      <c r="M5">
        <v>0.38468000000000002</v>
      </c>
      <c r="N5">
        <v>0.39949000000000001</v>
      </c>
      <c r="O5">
        <v>0.38341999999999998</v>
      </c>
      <c r="P5">
        <v>0.38369999999999999</v>
      </c>
      <c r="Q5">
        <v>0.43437999999999999</v>
      </c>
      <c r="R5">
        <v>0.44688000000000011</v>
      </c>
      <c r="S5">
        <v>0.50356000000000001</v>
      </c>
      <c r="T5">
        <v>0.50458000000000003</v>
      </c>
      <c r="U5">
        <v>0.49975999999999998</v>
      </c>
      <c r="V5">
        <v>0.52402000000000004</v>
      </c>
      <c r="W5">
        <v>0.63695999999999997</v>
      </c>
      <c r="X5">
        <v>0.66066999999999998</v>
      </c>
      <c r="Y5">
        <v>0.61516999999999999</v>
      </c>
    </row>
    <row r="6" spans="1:25" x14ac:dyDescent="0.25">
      <c r="A6">
        <v>5</v>
      </c>
      <c r="B6">
        <v>1.54036</v>
      </c>
      <c r="C6">
        <v>1.5893999999999999</v>
      </c>
      <c r="D6">
        <v>1.4485300000000001</v>
      </c>
      <c r="E6">
        <v>1.3629899999999999</v>
      </c>
      <c r="F6">
        <v>1.3348899999999999</v>
      </c>
      <c r="G6">
        <v>1.29314</v>
      </c>
      <c r="H6">
        <v>1.2105900000000001</v>
      </c>
      <c r="I6">
        <v>1.0615000000000001</v>
      </c>
      <c r="J6">
        <v>1.0547500000000001</v>
      </c>
      <c r="K6">
        <v>0.99914000000000003</v>
      </c>
      <c r="L6">
        <v>1.05854</v>
      </c>
      <c r="M6">
        <v>0.99563999999999997</v>
      </c>
      <c r="N6">
        <v>0.86160000000000003</v>
      </c>
      <c r="O6">
        <v>0.89714000000000005</v>
      </c>
      <c r="P6">
        <v>0.87140000000000006</v>
      </c>
      <c r="Q6">
        <v>0.95869000000000004</v>
      </c>
      <c r="R6">
        <v>1.06657</v>
      </c>
      <c r="S6">
        <v>1.1900200000000001</v>
      </c>
      <c r="T6">
        <v>1.15625</v>
      </c>
      <c r="U6">
        <v>1.23586</v>
      </c>
      <c r="V6">
        <v>1.20506</v>
      </c>
      <c r="W6">
        <v>1.40065</v>
      </c>
      <c r="X6">
        <v>1.38226</v>
      </c>
      <c r="Y6">
        <v>1.45034</v>
      </c>
    </row>
    <row r="7" spans="1:25" x14ac:dyDescent="0.25">
      <c r="A7">
        <v>6</v>
      </c>
      <c r="B7">
        <v>1.5353699999999999</v>
      </c>
      <c r="C7">
        <v>1.56521</v>
      </c>
      <c r="D7">
        <v>1.47115</v>
      </c>
      <c r="E7">
        <v>1.4369700000000001</v>
      </c>
      <c r="F7">
        <v>1.3535900000000001</v>
      </c>
      <c r="G7">
        <v>1.27765</v>
      </c>
      <c r="H7">
        <v>1.1567099999999999</v>
      </c>
      <c r="I7">
        <v>1.14012</v>
      </c>
      <c r="J7">
        <v>1.0448900000000001</v>
      </c>
      <c r="K7">
        <v>1.0912599999999999</v>
      </c>
      <c r="L7">
        <v>1.01416</v>
      </c>
      <c r="M7">
        <v>0.92778000000000005</v>
      </c>
      <c r="N7">
        <v>0.8656600000000001</v>
      </c>
      <c r="O7">
        <v>0.85959999999999992</v>
      </c>
      <c r="P7">
        <v>0.99619000000000002</v>
      </c>
      <c r="Q7">
        <v>1.00085</v>
      </c>
      <c r="R7">
        <v>1.07521</v>
      </c>
      <c r="S7">
        <v>1.0244500000000001</v>
      </c>
      <c r="T7">
        <v>1.2556499999999999</v>
      </c>
      <c r="U7">
        <v>1.3066800000000001</v>
      </c>
      <c r="V7">
        <v>1.27505</v>
      </c>
      <c r="W7">
        <v>1.3788400000000001</v>
      </c>
      <c r="X7">
        <v>1.47906</v>
      </c>
      <c r="Y7">
        <v>1.49369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Y3"/>
  <sheetViews>
    <sheetView workbookViewId="0"/>
  </sheetViews>
  <sheetFormatPr defaultRowHeight="14" x14ac:dyDescent="0.25"/>
  <sheetData>
    <row r="1" spans="1:25" x14ac:dyDescent="0.25">
      <c r="A1" s="1" t="s">
        <v>171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>
        <v>1</v>
      </c>
      <c r="B2">
        <v>0.11824999999999999</v>
      </c>
      <c r="C2">
        <v>0.1187</v>
      </c>
      <c r="D2">
        <v>0.11584</v>
      </c>
      <c r="E2">
        <v>0.11501</v>
      </c>
      <c r="F2">
        <v>0.11809</v>
      </c>
      <c r="G2">
        <v>9.1679999999999998E-2</v>
      </c>
      <c r="H2">
        <v>9.8820000000000005E-2</v>
      </c>
      <c r="I2">
        <v>9.5660000000000009E-2</v>
      </c>
      <c r="J2">
        <v>9.1329999999999995E-2</v>
      </c>
      <c r="K2">
        <v>8.4260000000000002E-2</v>
      </c>
      <c r="L2">
        <v>7.5420000000000001E-2</v>
      </c>
      <c r="M2">
        <v>8.199999999999999E-2</v>
      </c>
      <c r="N2">
        <v>8.6910000000000015E-2</v>
      </c>
      <c r="O2">
        <v>7.4490000000000001E-2</v>
      </c>
      <c r="P2">
        <v>8.6250000000000007E-2</v>
      </c>
      <c r="Q2">
        <v>8.4450000000000011E-2</v>
      </c>
      <c r="R2">
        <v>8.9719999999999994E-2</v>
      </c>
      <c r="S2">
        <v>8.9830000000000007E-2</v>
      </c>
      <c r="T2">
        <v>9.8330000000000001E-2</v>
      </c>
      <c r="U2">
        <v>0.11201</v>
      </c>
      <c r="V2">
        <v>0.1132</v>
      </c>
      <c r="W2">
        <v>0.12403</v>
      </c>
      <c r="X2">
        <v>0.12422999999999999</v>
      </c>
      <c r="Y2">
        <v>0.12194000000000001</v>
      </c>
    </row>
    <row r="3" spans="1:25" x14ac:dyDescent="0.25">
      <c r="A3">
        <v>2</v>
      </c>
      <c r="B3">
        <v>0.13045999999999999</v>
      </c>
      <c r="C3">
        <v>0.12194000000000001</v>
      </c>
      <c r="D3">
        <v>0.12218</v>
      </c>
      <c r="E3">
        <v>0.11244999999999999</v>
      </c>
      <c r="F3">
        <v>0.11037</v>
      </c>
      <c r="G3">
        <v>0.10151</v>
      </c>
      <c r="H3">
        <v>0.10495</v>
      </c>
      <c r="I3">
        <v>8.924E-2</v>
      </c>
      <c r="J3">
        <v>9.3520000000000006E-2</v>
      </c>
      <c r="K3">
        <v>8.5039999999999991E-2</v>
      </c>
      <c r="L3">
        <v>8.7520000000000014E-2</v>
      </c>
      <c r="M3">
        <v>8.3710000000000007E-2</v>
      </c>
      <c r="N3">
        <v>8.7279999999999996E-2</v>
      </c>
      <c r="O3">
        <v>8.3629999999999996E-2</v>
      </c>
      <c r="P3">
        <v>7.6180000000000012E-2</v>
      </c>
      <c r="Q3">
        <v>8.5570000000000007E-2</v>
      </c>
      <c r="R3">
        <v>8.4730000000000014E-2</v>
      </c>
      <c r="S3">
        <v>9.2370000000000008E-2</v>
      </c>
      <c r="T3">
        <v>0.10756</v>
      </c>
      <c r="U3">
        <v>0.10853</v>
      </c>
      <c r="V3">
        <v>0.10616</v>
      </c>
      <c r="W3">
        <v>0.10836</v>
      </c>
      <c r="X3">
        <v>0.11751</v>
      </c>
      <c r="Y3">
        <v>0.11206000000000001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4"/>
  <sheetViews>
    <sheetView workbookViewId="0"/>
  </sheetViews>
  <sheetFormatPr defaultRowHeight="14" x14ac:dyDescent="0.25"/>
  <sheetData>
    <row r="1" spans="1:2" x14ac:dyDescent="0.25">
      <c r="A1" s="1" t="s">
        <v>171</v>
      </c>
      <c r="B1" s="1" t="s">
        <v>172</v>
      </c>
    </row>
    <row r="2" spans="1:2" x14ac:dyDescent="0.25">
      <c r="A2">
        <v>1</v>
      </c>
      <c r="B2">
        <v>20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20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Y2"/>
  <sheetViews>
    <sheetView topLeftCell="C1" workbookViewId="0">
      <selection activeCell="J23" sqref="J23"/>
    </sheetView>
  </sheetViews>
  <sheetFormatPr defaultRowHeight="14" x14ac:dyDescent="0.25"/>
  <sheetData>
    <row r="1" spans="1:25" x14ac:dyDescent="0.25">
      <c r="A1" s="1" t="s">
        <v>53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 t="s">
        <v>85</v>
      </c>
      <c r="B2">
        <f>power_PD!B6</f>
        <v>3.5702600000000002</v>
      </c>
      <c r="C2">
        <f>power_PD!C6</f>
        <v>3.87527</v>
      </c>
      <c r="D2">
        <f>power_PD!D6</f>
        <v>3.3322099999999999</v>
      </c>
      <c r="E2">
        <f>power_PD!E6</f>
        <v>3.24214</v>
      </c>
      <c r="F2">
        <f>power_PD!F6</f>
        <v>3.3235800000000002</v>
      </c>
      <c r="G2">
        <f>power_PD!G6</f>
        <v>2.9578700000000002</v>
      </c>
      <c r="H2">
        <f>power_PD!H6</f>
        <v>2.79928</v>
      </c>
      <c r="I2">
        <f>power_PD!I6</f>
        <v>2.56149</v>
      </c>
      <c r="J2">
        <f>power_PD!J6</f>
        <v>2.4201700000000002</v>
      </c>
      <c r="K2">
        <f>power_PD!K6</f>
        <v>2.3612799999999998</v>
      </c>
      <c r="L2">
        <f>power_PD!L6</f>
        <v>2.0819299999999998</v>
      </c>
      <c r="M2">
        <f>power_PD!M6</f>
        <v>2.0526499999999999</v>
      </c>
      <c r="N2">
        <f>power_PD!N6</f>
        <v>1.75908</v>
      </c>
      <c r="O2">
        <f>power_PD!O6</f>
        <v>1.9837800000000001</v>
      </c>
      <c r="P2">
        <f>power_PD!P6</f>
        <v>1.98516</v>
      </c>
      <c r="Q2">
        <f>power_PD!Q6</f>
        <v>2.07159</v>
      </c>
      <c r="R2">
        <f>power_PD!R6</f>
        <v>2.2755000000000001</v>
      </c>
      <c r="S2">
        <f>power_PD!S6</f>
        <v>2.53945</v>
      </c>
      <c r="T2">
        <f>power_PD!T6</f>
        <v>2.9282300000000001</v>
      </c>
      <c r="U2">
        <f>power_PD!U6</f>
        <v>2.8172899999999998</v>
      </c>
      <c r="V2">
        <f>power_PD!V6</f>
        <v>3.2249300000000001</v>
      </c>
      <c r="W2">
        <f>power_PD!W6</f>
        <v>3.3118099999999999</v>
      </c>
      <c r="X2">
        <f>power_PD!X6</f>
        <v>3.4696699999999998</v>
      </c>
      <c r="Y2">
        <f>power_PD!Y6</f>
        <v>3.79244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2"/>
  <sheetViews>
    <sheetView workbookViewId="0">
      <selection activeCell="B2" sqref="B2"/>
    </sheetView>
  </sheetViews>
  <sheetFormatPr defaultRowHeight="14" x14ac:dyDescent="0.25"/>
  <sheetData>
    <row r="1" spans="1:25" x14ac:dyDescent="0.25">
      <c r="A1" s="1" t="s">
        <v>53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 t="s">
        <v>86</v>
      </c>
      <c r="B2">
        <v>21.94</v>
      </c>
      <c r="C2">
        <v>20.277999999999999</v>
      </c>
      <c r="D2">
        <v>23.951000000000001</v>
      </c>
      <c r="E2">
        <v>21.664999999999999</v>
      </c>
      <c r="F2">
        <v>21.303000000000001</v>
      </c>
      <c r="G2">
        <v>19.669</v>
      </c>
      <c r="H2">
        <v>17.529</v>
      </c>
      <c r="I2">
        <v>16.303999999999998</v>
      </c>
      <c r="J2">
        <v>15.164</v>
      </c>
      <c r="K2">
        <v>19.148</v>
      </c>
      <c r="L2">
        <v>17.788</v>
      </c>
      <c r="M2">
        <v>18.27</v>
      </c>
      <c r="N2">
        <v>17.129000000000001</v>
      </c>
      <c r="O2">
        <v>16.341999999999999</v>
      </c>
      <c r="P2">
        <v>18</v>
      </c>
      <c r="Q2">
        <v>13.276</v>
      </c>
      <c r="R2">
        <v>15.214</v>
      </c>
      <c r="S2">
        <v>16.86</v>
      </c>
      <c r="T2">
        <v>18.939</v>
      </c>
      <c r="U2">
        <v>20.831</v>
      </c>
      <c r="V2">
        <v>17.478000000000002</v>
      </c>
      <c r="W2">
        <v>18.719000000000001</v>
      </c>
      <c r="X2">
        <v>18.670999999999999</v>
      </c>
      <c r="Y2">
        <v>21.376999999999999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5"/>
  <sheetViews>
    <sheetView tabSelected="1" workbookViewId="0">
      <selection activeCell="E8" sqref="E8"/>
    </sheetView>
  </sheetViews>
  <sheetFormatPr defaultRowHeight="14" x14ac:dyDescent="0.25"/>
  <sheetData>
    <row r="1" spans="1:26" x14ac:dyDescent="0.25">
      <c r="A1" t="s">
        <v>174</v>
      </c>
      <c r="B1" t="s">
        <v>58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169</v>
      </c>
      <c r="Z1" t="s">
        <v>170</v>
      </c>
    </row>
    <row r="2" spans="1:26" x14ac:dyDescent="0.25">
      <c r="A2">
        <v>1</v>
      </c>
      <c r="B2">
        <v>2</v>
      </c>
      <c r="C2">
        <v>1.8</v>
      </c>
      <c r="D2">
        <v>1.8</v>
      </c>
      <c r="E2">
        <v>1.8</v>
      </c>
      <c r="F2">
        <v>1.8</v>
      </c>
      <c r="G2">
        <v>1.8</v>
      </c>
      <c r="H2">
        <v>1.8</v>
      </c>
      <c r="I2">
        <v>1.8</v>
      </c>
      <c r="J2">
        <v>1.8</v>
      </c>
      <c r="K2">
        <v>1.8</v>
      </c>
      <c r="L2">
        <v>1.8</v>
      </c>
      <c r="M2">
        <v>1.8</v>
      </c>
      <c r="N2">
        <v>1.8</v>
      </c>
      <c r="O2">
        <v>1.8</v>
      </c>
      <c r="P2">
        <v>1.8</v>
      </c>
      <c r="Q2">
        <v>1.8</v>
      </c>
      <c r="R2">
        <v>1.8</v>
      </c>
      <c r="S2">
        <v>1.8</v>
      </c>
      <c r="T2">
        <v>1.8</v>
      </c>
      <c r="U2">
        <v>1.8</v>
      </c>
      <c r="V2">
        <v>1.8</v>
      </c>
      <c r="W2">
        <v>1.8</v>
      </c>
      <c r="X2">
        <v>1.8</v>
      </c>
      <c r="Y2">
        <v>1.8</v>
      </c>
      <c r="Z2">
        <v>1.8</v>
      </c>
    </row>
    <row r="3" spans="1:26" x14ac:dyDescent="0.25">
      <c r="A3">
        <v>2</v>
      </c>
      <c r="B3">
        <v>3</v>
      </c>
      <c r="C3">
        <v>1.8</v>
      </c>
      <c r="D3">
        <v>1.8</v>
      </c>
      <c r="E3">
        <v>1.8</v>
      </c>
      <c r="F3">
        <v>1.8</v>
      </c>
      <c r="G3">
        <v>1.8</v>
      </c>
      <c r="H3">
        <v>1.8</v>
      </c>
      <c r="I3">
        <v>1.8</v>
      </c>
      <c r="J3">
        <v>1.8</v>
      </c>
      <c r="K3">
        <v>1.8</v>
      </c>
      <c r="L3">
        <v>1.8</v>
      </c>
      <c r="M3">
        <v>1.8</v>
      </c>
      <c r="N3">
        <v>1.8</v>
      </c>
      <c r="O3">
        <v>1.8</v>
      </c>
      <c r="P3">
        <v>1.8</v>
      </c>
      <c r="Q3">
        <v>1.8</v>
      </c>
      <c r="R3">
        <v>1.8</v>
      </c>
      <c r="S3">
        <v>1.8</v>
      </c>
      <c r="T3">
        <v>1.8</v>
      </c>
      <c r="U3">
        <v>1.8</v>
      </c>
      <c r="V3">
        <v>1.8</v>
      </c>
      <c r="W3">
        <v>1.8</v>
      </c>
      <c r="X3">
        <v>1.8</v>
      </c>
      <c r="Y3">
        <v>1.8</v>
      </c>
      <c r="Z3">
        <v>1.8</v>
      </c>
    </row>
    <row r="4" spans="1:26" s="3" customFormat="1" x14ac:dyDescent="0.25">
      <c r="A4" s="3">
        <v>3</v>
      </c>
      <c r="B4" s="3">
        <v>5</v>
      </c>
      <c r="C4">
        <f>eh_flow_gas!B2/10.45</f>
        <v>2.0995215311004789</v>
      </c>
      <c r="D4">
        <f>eh_flow_gas!C2/10.45</f>
        <v>1.9404784688995216</v>
      </c>
      <c r="E4">
        <f>eh_flow_gas!D2/10.45</f>
        <v>2.2919617224880384</v>
      </c>
      <c r="F4">
        <f>eh_flow_gas!E2/10.45</f>
        <v>2.0732057416267944</v>
      </c>
      <c r="G4">
        <f>eh_flow_gas!F2/10.45</f>
        <v>2.0385645933014356</v>
      </c>
      <c r="H4">
        <f>eh_flow_gas!G2/10.45</f>
        <v>1.8822009569377993</v>
      </c>
      <c r="I4">
        <f>eh_flow_gas!H2/10.45</f>
        <v>1.6774162679425839</v>
      </c>
      <c r="J4">
        <f>eh_flow_gas!I2/10.45</f>
        <v>1.5601913875598086</v>
      </c>
      <c r="K4">
        <f>eh_flow_gas!J2/10.45</f>
        <v>1.4511004784688997</v>
      </c>
      <c r="L4">
        <f>eh_flow_gas!K2/10.45</f>
        <v>1.8323444976076555</v>
      </c>
      <c r="M4">
        <f>eh_flow_gas!L2/10.45</f>
        <v>1.7022009569377992</v>
      </c>
      <c r="N4">
        <f>eh_flow_gas!M2/10.45</f>
        <v>1.7483253588516747</v>
      </c>
      <c r="O4">
        <f>eh_flow_gas!N2/10.45</f>
        <v>1.6391387559808615</v>
      </c>
      <c r="P4">
        <f>eh_flow_gas!O2/10.45</f>
        <v>1.5638277511961722</v>
      </c>
      <c r="Q4">
        <f>eh_flow_gas!P2/10.45</f>
        <v>1.7224880382775121</v>
      </c>
      <c r="R4">
        <f>eh_flow_gas!Q2/10.45</f>
        <v>1.2704306220095694</v>
      </c>
      <c r="S4">
        <f>eh_flow_gas!R2/10.45</f>
        <v>1.4558851674641149</v>
      </c>
      <c r="T4">
        <f>eh_flow_gas!S2/10.45</f>
        <v>1.6133971291866029</v>
      </c>
      <c r="U4">
        <f>eh_flow_gas!T2/10.45</f>
        <v>1.8123444976076557</v>
      </c>
      <c r="V4">
        <f>eh_flow_gas!U2/10.45</f>
        <v>1.9933971291866031</v>
      </c>
      <c r="W4">
        <f>eh_flow_gas!V2/10.45</f>
        <v>1.6725358851674643</v>
      </c>
      <c r="X4">
        <f>eh_flow_gas!W2/10.45</f>
        <v>1.7912918660287083</v>
      </c>
      <c r="Y4">
        <f>eh_flow_gas!X2/10.45</f>
        <v>1.7866985645933016</v>
      </c>
      <c r="Z4">
        <f>eh_flow_gas!Y2/10.45</f>
        <v>2.0456459330143542</v>
      </c>
    </row>
    <row r="5" spans="1:26" x14ac:dyDescent="0.25">
      <c r="A5">
        <v>4</v>
      </c>
      <c r="B5">
        <v>6</v>
      </c>
      <c r="C5">
        <v>0.82008000000000003</v>
      </c>
      <c r="D5">
        <v>0.82008000000000003</v>
      </c>
      <c r="E5">
        <v>0.82008000000000003</v>
      </c>
      <c r="F5">
        <v>0.82008000000000003</v>
      </c>
      <c r="G5">
        <v>0.82008000000000003</v>
      </c>
      <c r="H5">
        <v>0.82008000000000003</v>
      </c>
      <c r="I5">
        <v>0.82008000000000003</v>
      </c>
      <c r="J5">
        <v>0.82008000000000003</v>
      </c>
      <c r="K5">
        <v>0.82008000000000003</v>
      </c>
      <c r="L5">
        <v>0.82008000000000003</v>
      </c>
      <c r="M5">
        <v>0.82008000000000003</v>
      </c>
      <c r="N5">
        <v>0.82008000000000003</v>
      </c>
      <c r="O5">
        <v>0.82008000000000003</v>
      </c>
      <c r="P5">
        <v>0.82008000000000003</v>
      </c>
      <c r="Q5">
        <v>0.82008000000000003</v>
      </c>
      <c r="R5">
        <v>0.82008000000000003</v>
      </c>
      <c r="S5">
        <v>0.82008000000000003</v>
      </c>
      <c r="T5">
        <v>0.82008000000000003</v>
      </c>
      <c r="U5">
        <v>0.82008000000000003</v>
      </c>
      <c r="V5">
        <v>0.82008000000000003</v>
      </c>
      <c r="W5">
        <v>0.82008000000000003</v>
      </c>
      <c r="X5">
        <v>0.82008000000000003</v>
      </c>
      <c r="Y5">
        <v>0.82008000000000003</v>
      </c>
      <c r="Z5">
        <v>0.82008000000000003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"/>
  <sheetViews>
    <sheetView workbookViewId="0"/>
  </sheetViews>
  <sheetFormatPr defaultRowHeight="14" x14ac:dyDescent="0.25"/>
  <sheetData>
    <row r="1" spans="1:2" x14ac:dyDescent="0.25">
      <c r="A1" s="1" t="s">
        <v>53</v>
      </c>
      <c r="B1" s="1" t="s">
        <v>173</v>
      </c>
    </row>
    <row r="2" spans="1:2" x14ac:dyDescent="0.25">
      <c r="A2" t="s">
        <v>86</v>
      </c>
      <c r="B2">
        <v>0.2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Y4"/>
  <sheetViews>
    <sheetView workbookViewId="0"/>
  </sheetViews>
  <sheetFormatPr defaultRowHeight="14" x14ac:dyDescent="0.25"/>
  <sheetData>
    <row r="1" spans="1:25" x14ac:dyDescent="0.25">
      <c r="A1" s="2" t="s">
        <v>174</v>
      </c>
      <c r="B1" s="2" t="s">
        <v>147</v>
      </c>
      <c r="C1" s="2" t="s">
        <v>148</v>
      </c>
      <c r="D1" s="2" t="s">
        <v>149</v>
      </c>
      <c r="E1" s="2" t="s">
        <v>150</v>
      </c>
      <c r="F1" s="2" t="s">
        <v>151</v>
      </c>
      <c r="G1" s="2" t="s">
        <v>152</v>
      </c>
      <c r="H1" s="2" t="s">
        <v>153</v>
      </c>
      <c r="I1" s="2" t="s">
        <v>154</v>
      </c>
      <c r="J1" s="2" t="s">
        <v>155</v>
      </c>
      <c r="K1" s="2" t="s">
        <v>156</v>
      </c>
      <c r="L1" s="2" t="s">
        <v>157</v>
      </c>
      <c r="M1" s="2" t="s">
        <v>158</v>
      </c>
      <c r="N1" s="2" t="s">
        <v>159</v>
      </c>
      <c r="O1" s="2" t="s">
        <v>160</v>
      </c>
      <c r="P1" s="2" t="s">
        <v>161</v>
      </c>
      <c r="Q1" s="2" t="s">
        <v>162</v>
      </c>
      <c r="R1" s="2" t="s">
        <v>163</v>
      </c>
      <c r="S1" s="2" t="s">
        <v>164</v>
      </c>
      <c r="T1" s="2" t="s">
        <v>165</v>
      </c>
      <c r="U1" s="2" t="s">
        <v>166</v>
      </c>
      <c r="V1" s="2" t="s">
        <v>167</v>
      </c>
      <c r="W1" s="2" t="s">
        <v>168</v>
      </c>
      <c r="X1" s="2" t="s">
        <v>169</v>
      </c>
      <c r="Y1" s="2" t="s">
        <v>170</v>
      </c>
    </row>
    <row r="2" spans="1:25" x14ac:dyDescent="0.25">
      <c r="A2">
        <v>1</v>
      </c>
      <c r="B2">
        <v>5.9429999999999996</v>
      </c>
      <c r="C2">
        <v>6.17</v>
      </c>
      <c r="D2">
        <v>5.9359999999999999</v>
      </c>
      <c r="E2">
        <v>5.3639999999999999</v>
      </c>
      <c r="F2">
        <v>5.6360000000000001</v>
      </c>
      <c r="G2">
        <v>5.6980000000000004</v>
      </c>
      <c r="H2">
        <v>4.915</v>
      </c>
      <c r="I2">
        <v>4.601</v>
      </c>
      <c r="J2">
        <v>4.3949999999999996</v>
      </c>
      <c r="K2">
        <v>4.0620000000000003</v>
      </c>
      <c r="L2">
        <v>3.47</v>
      </c>
      <c r="M2">
        <v>3.577999999999999</v>
      </c>
      <c r="N2">
        <v>3.2679999999999998</v>
      </c>
      <c r="O2">
        <v>3.1429999999999998</v>
      </c>
      <c r="P2">
        <v>3.36</v>
      </c>
      <c r="Q2">
        <v>3.4279999999999999</v>
      </c>
      <c r="R2">
        <v>3.9049999999999998</v>
      </c>
      <c r="S2">
        <v>4.4489999999999998</v>
      </c>
      <c r="T2">
        <v>5.2409999999999997</v>
      </c>
      <c r="U2">
        <v>6.016</v>
      </c>
      <c r="V2">
        <v>5.3879999999999999</v>
      </c>
      <c r="W2">
        <v>6.3840000000000003</v>
      </c>
      <c r="X2">
        <v>6.109</v>
      </c>
      <c r="Y2">
        <v>6.8810000000000002</v>
      </c>
    </row>
    <row r="3" spans="1:25" x14ac:dyDescent="0.25">
      <c r="A3">
        <v>2</v>
      </c>
      <c r="B3">
        <v>6.6970000000000001</v>
      </c>
      <c r="C3">
        <v>5.9550000000000001</v>
      </c>
      <c r="D3">
        <v>6.8780000000000001</v>
      </c>
      <c r="E3">
        <v>6.0110000000000001</v>
      </c>
      <c r="F3">
        <v>5.6870000000000003</v>
      </c>
      <c r="G3">
        <v>5.1029999999999998</v>
      </c>
      <c r="H3">
        <v>4.8040000000000003</v>
      </c>
      <c r="I3">
        <v>4.6639999999999997</v>
      </c>
      <c r="J3">
        <v>4.0780000000000003</v>
      </c>
      <c r="K3">
        <v>3.8370000000000002</v>
      </c>
      <c r="L3">
        <v>3.56</v>
      </c>
      <c r="M3">
        <v>3.5720000000000001</v>
      </c>
      <c r="N3">
        <v>3.1829999999999998</v>
      </c>
      <c r="O3">
        <v>3.016</v>
      </c>
      <c r="P3">
        <v>3.7080000000000002</v>
      </c>
      <c r="Q3">
        <v>3.6880000000000002</v>
      </c>
      <c r="R3">
        <v>4.4009999999999998</v>
      </c>
      <c r="S3">
        <v>4.6520000000000001</v>
      </c>
      <c r="T3">
        <v>4.9610000000000003</v>
      </c>
      <c r="U3">
        <v>5.5670000000000002</v>
      </c>
      <c r="V3">
        <v>6.5629999999999997</v>
      </c>
      <c r="W3">
        <v>7.0149999999999997</v>
      </c>
      <c r="X3">
        <v>6.5430000000000001</v>
      </c>
      <c r="Y3">
        <v>6.7549999999999999</v>
      </c>
    </row>
    <row r="4" spans="1:25" x14ac:dyDescent="0.25">
      <c r="A4">
        <v>3</v>
      </c>
      <c r="B4">
        <v>7.1859999999999999</v>
      </c>
      <c r="C4">
        <v>6.351</v>
      </c>
      <c r="D4">
        <v>6.6459999999999999</v>
      </c>
      <c r="E4">
        <v>6.2279999999999998</v>
      </c>
      <c r="F4">
        <v>5.9859999999999998</v>
      </c>
      <c r="G4">
        <v>5.18</v>
      </c>
      <c r="H4">
        <v>4.5229999999999997</v>
      </c>
      <c r="I4">
        <v>3.9820000000000002</v>
      </c>
      <c r="J4">
        <v>3.8479999999999999</v>
      </c>
      <c r="K4">
        <v>3.6589999999999998</v>
      </c>
      <c r="L4">
        <v>3.423</v>
      </c>
      <c r="M4">
        <v>3.694</v>
      </c>
      <c r="N4">
        <v>3.4660000000000002</v>
      </c>
      <c r="O4">
        <v>3.1190000000000002</v>
      </c>
      <c r="P4">
        <v>3.5569999999999999</v>
      </c>
      <c r="Q4">
        <v>3.6709999999999998</v>
      </c>
      <c r="R4">
        <v>4.0549999999999997</v>
      </c>
      <c r="S4">
        <v>4.5979999999999999</v>
      </c>
      <c r="T4">
        <v>5.1859999999999999</v>
      </c>
      <c r="U4">
        <v>5.3419999999999996</v>
      </c>
      <c r="V4">
        <v>6.25</v>
      </c>
      <c r="W4">
        <v>5.81</v>
      </c>
      <c r="X4">
        <v>6.5179999999999998</v>
      </c>
      <c r="Y4">
        <v>7.7329999999999997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Y2"/>
  <sheetViews>
    <sheetView workbookViewId="0"/>
  </sheetViews>
  <sheetFormatPr defaultRowHeight="14" x14ac:dyDescent="0.25"/>
  <sheetData>
    <row r="1" spans="1:25" x14ac:dyDescent="0.25">
      <c r="A1" s="1" t="s">
        <v>175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 t="s">
        <v>176</v>
      </c>
      <c r="B2">
        <v>24.04</v>
      </c>
      <c r="C2">
        <v>23.07</v>
      </c>
      <c r="D2">
        <v>20.85</v>
      </c>
      <c r="E2">
        <v>19.23</v>
      </c>
      <c r="F2">
        <v>17.170000000000002</v>
      </c>
      <c r="G2">
        <v>15.43</v>
      </c>
      <c r="H2">
        <v>13.74</v>
      </c>
      <c r="I2">
        <v>13.11</v>
      </c>
      <c r="J2">
        <v>11.9</v>
      </c>
      <c r="K2">
        <v>12.27</v>
      </c>
      <c r="L2">
        <v>12.67</v>
      </c>
      <c r="M2">
        <v>13.08</v>
      </c>
      <c r="N2">
        <v>13.94</v>
      </c>
      <c r="O2">
        <v>15.68</v>
      </c>
      <c r="P2">
        <v>17.059999999999999</v>
      </c>
      <c r="Q2">
        <v>19.37</v>
      </c>
      <c r="R2">
        <v>20.079999999999998</v>
      </c>
      <c r="S2">
        <v>22.37</v>
      </c>
      <c r="T2">
        <v>23.15</v>
      </c>
      <c r="U2">
        <v>24.46</v>
      </c>
      <c r="V2">
        <v>26.31</v>
      </c>
      <c r="W2">
        <v>26.36</v>
      </c>
      <c r="X2">
        <v>25.47</v>
      </c>
      <c r="Y2">
        <v>24.46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Y2"/>
  <sheetViews>
    <sheetView workbookViewId="0"/>
  </sheetViews>
  <sheetFormatPr defaultRowHeight="14" x14ac:dyDescent="0.25"/>
  <sheetData>
    <row r="1" spans="1:25" x14ac:dyDescent="0.25">
      <c r="A1" s="1" t="s">
        <v>27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 t="s">
        <v>39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Y2"/>
  <sheetViews>
    <sheetView workbookViewId="0"/>
  </sheetViews>
  <sheetFormatPr defaultRowHeight="14" x14ac:dyDescent="0.25"/>
  <sheetData>
    <row r="1" spans="1:25" x14ac:dyDescent="0.25">
      <c r="A1" s="1" t="s">
        <v>27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Y2"/>
  <sheetViews>
    <sheetView workbookViewId="0"/>
  </sheetViews>
  <sheetFormatPr defaultRowHeight="14" x14ac:dyDescent="0.25"/>
  <sheetData>
    <row r="1" spans="1:25" x14ac:dyDescent="0.25">
      <c r="A1" s="1" t="s">
        <v>177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 t="s">
        <v>178</v>
      </c>
      <c r="B2">
        <v>0.3</v>
      </c>
      <c r="C2">
        <v>0.3</v>
      </c>
      <c r="D2">
        <v>0.3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0.6</v>
      </c>
      <c r="K2">
        <v>0.6</v>
      </c>
      <c r="L2">
        <v>0.6</v>
      </c>
      <c r="M2">
        <v>0.6</v>
      </c>
      <c r="N2">
        <v>0.6</v>
      </c>
      <c r="O2">
        <v>0.6</v>
      </c>
      <c r="P2">
        <v>0.6</v>
      </c>
      <c r="Q2">
        <v>0.6</v>
      </c>
      <c r="R2">
        <v>0.6</v>
      </c>
      <c r="S2">
        <v>0.6</v>
      </c>
      <c r="T2">
        <v>0.6</v>
      </c>
      <c r="U2">
        <v>0.6</v>
      </c>
      <c r="V2">
        <v>0.6</v>
      </c>
      <c r="W2">
        <v>0.3</v>
      </c>
      <c r="X2">
        <v>0.3</v>
      </c>
      <c r="Y2">
        <v>0.3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Y2"/>
  <sheetViews>
    <sheetView workbookViewId="0"/>
  </sheetViews>
  <sheetFormatPr defaultRowHeight="14" x14ac:dyDescent="0.25"/>
  <sheetData>
    <row r="1" spans="1:25" x14ac:dyDescent="0.25">
      <c r="A1" s="1" t="s">
        <v>177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 t="s">
        <v>178</v>
      </c>
      <c r="B2">
        <v>0.2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0.4</v>
      </c>
      <c r="K2">
        <v>0.4</v>
      </c>
      <c r="L2">
        <v>0.4</v>
      </c>
      <c r="M2">
        <v>0.4</v>
      </c>
      <c r="N2">
        <v>0.4</v>
      </c>
      <c r="O2">
        <v>0.4</v>
      </c>
      <c r="P2">
        <v>0.4</v>
      </c>
      <c r="Q2">
        <v>0.4</v>
      </c>
      <c r="R2">
        <v>0.4</v>
      </c>
      <c r="S2">
        <v>0.4</v>
      </c>
      <c r="T2">
        <v>0.4</v>
      </c>
      <c r="U2">
        <v>0.4</v>
      </c>
      <c r="V2">
        <v>0.4</v>
      </c>
      <c r="W2">
        <v>0.2</v>
      </c>
      <c r="X2">
        <v>0.2</v>
      </c>
      <c r="Y2">
        <v>0.2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Y2"/>
  <sheetViews>
    <sheetView workbookViewId="0"/>
  </sheetViews>
  <sheetFormatPr defaultRowHeight="14" x14ac:dyDescent="0.25"/>
  <sheetData>
    <row r="1" spans="1:25" x14ac:dyDescent="0.25">
      <c r="A1" s="1" t="s">
        <v>179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 t="s">
        <v>180</v>
      </c>
      <c r="B2">
        <v>0.45</v>
      </c>
      <c r="C2">
        <v>0.45</v>
      </c>
      <c r="D2">
        <v>0.45</v>
      </c>
      <c r="E2">
        <v>0.45</v>
      </c>
      <c r="F2">
        <v>0.45</v>
      </c>
      <c r="G2">
        <v>0.45</v>
      </c>
      <c r="H2">
        <v>0.45</v>
      </c>
      <c r="I2">
        <v>0.45</v>
      </c>
      <c r="J2">
        <v>0.45</v>
      </c>
      <c r="K2">
        <v>0.45</v>
      </c>
      <c r="L2">
        <v>0.45</v>
      </c>
      <c r="M2">
        <v>0.45</v>
      </c>
      <c r="N2">
        <v>0.45</v>
      </c>
      <c r="O2">
        <v>0.45</v>
      </c>
      <c r="P2">
        <v>0.45</v>
      </c>
      <c r="Q2">
        <v>0.45</v>
      </c>
      <c r="R2">
        <v>0.45</v>
      </c>
      <c r="S2">
        <v>0.45</v>
      </c>
      <c r="T2">
        <v>0.45</v>
      </c>
      <c r="U2">
        <v>0.45</v>
      </c>
      <c r="V2">
        <v>0.45</v>
      </c>
      <c r="W2">
        <v>0.45</v>
      </c>
      <c r="X2">
        <v>0.45</v>
      </c>
      <c r="Y2">
        <v>0.45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Y2"/>
  <sheetViews>
    <sheetView workbookViewId="0"/>
  </sheetViews>
  <sheetFormatPr defaultRowHeight="14" x14ac:dyDescent="0.25"/>
  <sheetData>
    <row r="1" spans="1:25" x14ac:dyDescent="0.25">
      <c r="A1" s="1" t="s">
        <v>179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 t="s">
        <v>180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Y2"/>
  <sheetViews>
    <sheetView workbookViewId="0"/>
  </sheetViews>
  <sheetFormatPr defaultRowHeight="14" x14ac:dyDescent="0.25"/>
  <sheetData>
    <row r="1" spans="1:25" x14ac:dyDescent="0.25">
      <c r="A1" s="1" t="s">
        <v>179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</row>
    <row r="2" spans="1:25" x14ac:dyDescent="0.25">
      <c r="A2" t="s">
        <v>180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3"/>
  <sheetViews>
    <sheetView workbookViewId="0"/>
  </sheetViews>
  <sheetFormatPr defaultRowHeight="14" x14ac:dyDescent="0.25"/>
  <sheetData>
    <row r="1" spans="1:26" x14ac:dyDescent="0.25">
      <c r="A1" t="s">
        <v>181</v>
      </c>
      <c r="B1" t="s">
        <v>58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169</v>
      </c>
      <c r="Z1" t="s">
        <v>170</v>
      </c>
    </row>
    <row r="2" spans="1:26" x14ac:dyDescent="0.25">
      <c r="A2">
        <v>1</v>
      </c>
      <c r="B2">
        <v>1</v>
      </c>
    </row>
    <row r="3" spans="1:26" x14ac:dyDescent="0.25">
      <c r="A3">
        <v>2</v>
      </c>
      <c r="B3">
        <v>4</v>
      </c>
      <c r="C3">
        <v>2.46</v>
      </c>
      <c r="D3">
        <v>2.46</v>
      </c>
      <c r="E3">
        <v>2.46</v>
      </c>
      <c r="F3">
        <v>2.46</v>
      </c>
      <c r="G3">
        <v>2.46</v>
      </c>
      <c r="H3">
        <v>2.46</v>
      </c>
      <c r="I3">
        <v>2.46</v>
      </c>
      <c r="J3">
        <v>2.46</v>
      </c>
      <c r="K3">
        <v>2.46</v>
      </c>
      <c r="L3">
        <v>2.46</v>
      </c>
      <c r="M3">
        <v>2.46</v>
      </c>
      <c r="N3">
        <v>2.46</v>
      </c>
      <c r="O3">
        <v>2.46</v>
      </c>
      <c r="P3">
        <v>2.46</v>
      </c>
      <c r="Q3">
        <v>2.46</v>
      </c>
      <c r="R3">
        <v>2.46</v>
      </c>
      <c r="S3">
        <v>2.46</v>
      </c>
      <c r="T3">
        <v>2.46</v>
      </c>
      <c r="U3">
        <v>2.46</v>
      </c>
      <c r="V3">
        <v>2.46</v>
      </c>
      <c r="W3">
        <v>2.46</v>
      </c>
      <c r="X3">
        <v>2.46</v>
      </c>
      <c r="Y3">
        <v>2.46</v>
      </c>
      <c r="Z3">
        <v>2.46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power_meta</vt:lpstr>
      <vt:lpstr>power_bus</vt:lpstr>
      <vt:lpstr>power_gen</vt:lpstr>
      <vt:lpstr>power_branch</vt:lpstr>
      <vt:lpstr>storage_system</vt:lpstr>
      <vt:lpstr>power_gci</vt:lpstr>
      <vt:lpstr>gas_nodes</vt:lpstr>
      <vt:lpstr>gas_pipelines</vt:lpstr>
      <vt:lpstr>gas_compressors</vt:lpstr>
      <vt:lpstr>gas_sources</vt:lpstr>
      <vt:lpstr>gas_loads</vt:lpstr>
      <vt:lpstr>heat_nodes</vt:lpstr>
      <vt:lpstr>heat_pipelines</vt:lpstr>
      <vt:lpstr>heat_valves</vt:lpstr>
      <vt:lpstr>heat_pumps</vt:lpstr>
      <vt:lpstr>heat_sources</vt:lpstr>
      <vt:lpstr>heat_loads</vt:lpstr>
      <vt:lpstr>eh_meta</vt:lpstr>
      <vt:lpstr>eh_inputs</vt:lpstr>
      <vt:lpstr>eh_outputs</vt:lpstr>
      <vt:lpstr>_schema</vt:lpstr>
      <vt:lpstr>power_PD</vt:lpstr>
      <vt:lpstr>power_QD</vt:lpstr>
      <vt:lpstr>gen_PG</vt:lpstr>
      <vt:lpstr>gen_PMAX</vt:lpstr>
      <vt:lpstr>eh_flow_electricity</vt:lpstr>
      <vt:lpstr>eh_flow_gas</vt:lpstr>
      <vt:lpstr>gas_load_demand</vt:lpstr>
      <vt:lpstr>eh_PCI_gas</vt:lpstr>
      <vt:lpstr>heat_Q_demand</vt:lpstr>
      <vt:lpstr>ambient_T</vt:lpstr>
      <vt:lpstr>storage_dispatch_ch</vt:lpstr>
      <vt:lpstr>storage_dispatch_dc</vt:lpstr>
      <vt:lpstr>elec_price_buy</vt:lpstr>
      <vt:lpstr>elec_price_sell</vt:lpstr>
      <vt:lpstr>external_CI</vt:lpstr>
      <vt:lpstr>grid_trade_buy</vt:lpstr>
      <vt:lpstr>grid_trade_sell</vt:lpstr>
      <vt:lpstr>gas_source_output_fixed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 Ge</cp:lastModifiedBy>
  <dcterms:created xsi:type="dcterms:W3CDTF">2025-12-09T12:34:32Z</dcterms:created>
  <dcterms:modified xsi:type="dcterms:W3CDTF">2025-12-12T11:36:08Z</dcterms:modified>
</cp:coreProperties>
</file>